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\work\final\"/>
    </mc:Choice>
  </mc:AlternateContent>
  <xr:revisionPtr revIDLastSave="0" documentId="13_ncr:1_{31309FC8-D1E2-40FE-A0D9-4A21F901AE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budget" sheetId="1" r:id="rId1"/>
    <sheet name="Budget Charts" sheetId="2" r:id="rId2"/>
  </sheets>
  <definedNames>
    <definedName name="_xlnm.Print_Area" localSheetId="1">'Budget Charts'!$A$1:$L$33</definedName>
    <definedName name="_xlnm.Print_Area" localSheetId="0">'project budget'!$A$1:$E$70</definedName>
    <definedName name="_xlnm.Print_Titles" localSheetId="0">'project budget'!$2:$2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1" l="1"/>
  <c r="D49" i="1" s="1"/>
  <c r="B9" i="2" s="1"/>
  <c r="D36" i="1"/>
  <c r="D35" i="1"/>
  <c r="D38" i="1" s="1"/>
  <c r="B8" i="2" s="1"/>
  <c r="D28" i="1"/>
  <c r="D31" i="1" s="1"/>
  <c r="B7" i="2" s="1"/>
  <c r="D25" i="1"/>
  <c r="B6" i="2" s="1"/>
  <c r="D15" i="1"/>
  <c r="D14" i="1"/>
  <c r="D13" i="1"/>
  <c r="D18" i="1" s="1"/>
  <c r="B5" i="2" s="1"/>
  <c r="D9" i="1"/>
  <c r="D8" i="1"/>
  <c r="D6" i="1"/>
  <c r="D5" i="1"/>
  <c r="D10" i="1" l="1"/>
  <c r="B4" i="2"/>
  <c r="C52" i="1"/>
  <c r="D52" i="1" s="1"/>
  <c r="D56" i="1" s="1"/>
  <c r="B10" i="2" l="1"/>
  <c r="D59" i="1"/>
  <c r="C62" i="1" l="1"/>
  <c r="D62" i="1" s="1"/>
  <c r="B11" i="2" l="1"/>
  <c r="D67" i="1"/>
  <c r="E69" i="1" s="1"/>
</calcChain>
</file>

<file path=xl/sharedStrings.xml><?xml version="1.0" encoding="utf-8"?>
<sst xmlns="http://schemas.openxmlformats.org/spreadsheetml/2006/main" count="67" uniqueCount="59">
  <si>
    <t>Category</t>
  </si>
  <si>
    <t>Estimated
Quantity</t>
  </si>
  <si>
    <t>Estimated
Cost per Unit</t>
  </si>
  <si>
    <t>Estimated
Subtotal</t>
  </si>
  <si>
    <t>Notes</t>
  </si>
  <si>
    <t>Execution</t>
  </si>
  <si>
    <t>days</t>
  </si>
  <si>
    <t>$</t>
  </si>
  <si>
    <t>Configuration, integration &amp; delivery labour (Months 3-9)</t>
  </si>
  <si>
    <t>Project Manager</t>
  </si>
  <si>
    <t>100 days @ $600/day managing execution phase</t>
  </si>
  <si>
    <t>Business Analyst (1)</t>
  </si>
  <si>
    <t>60 days @ $550/day requirements/process analysis</t>
  </si>
  <si>
    <t>Config/Integration Specialists (3)</t>
  </si>
  <si>
    <t>3 specialists, 300 days total @ $650/day (config + integration)</t>
  </si>
  <si>
    <t>UX/Reports Designer</t>
  </si>
  <si>
    <t>20 days @ $600/day designing screens/reports</t>
  </si>
  <si>
    <t xml:space="preserve"> Costs Total</t>
  </si>
  <si>
    <t>Initiation</t>
  </si>
  <si>
    <t>20 days @ $600/day charter &amp; planning</t>
  </si>
  <si>
    <t>10 days @ $600/day early design input</t>
  </si>
  <si>
    <t>Configuration Team (Reqs &amp; Vendor Eval)</t>
  </si>
  <si>
    <t>40 days @ $600/day requirements &amp; vendor evaluation</t>
  </si>
  <si>
    <t xml:space="preserve"> </t>
  </si>
  <si>
    <t>Costs Total</t>
  </si>
  <si>
    <t>Other WBS Structure Item (Level 2): Testing</t>
  </si>
  <si>
    <t>Testing Support by Vendor</t>
  </si>
  <si>
    <t>Fixed-price vendor SIT/UAT support (assumption, per quote)</t>
  </si>
  <si>
    <t>Networking Costs Total</t>
  </si>
  <si>
    <t>Training</t>
  </si>
  <si>
    <t>Trainer</t>
  </si>
  <si>
    <t>60 trainer-days @ $900/day across NSW/VIC sites</t>
  </si>
  <si>
    <t>Costs Subtotal</t>
  </si>
  <si>
    <t>Software, Cloud Hosting &amp; Overheads (Misc.)</t>
  </si>
  <si>
    <t>Cloud Hosting Setup (SaaS)</t>
  </si>
  <si>
    <t>SaaS hosting/setup only - no on-prem hardware upgrade</t>
  </si>
  <si>
    <t>HMS Software Licence (Year 1)</t>
  </si>
  <si>
    <t>Year 1 HMS platform licence fee (assumption, per vendor quote)</t>
  </si>
  <si>
    <t>Services</t>
  </si>
  <si>
    <t>Data Migration &amp; Integration Tools</t>
  </si>
  <si>
    <t>Data migration/integration tooling (assumption)</t>
  </si>
  <si>
    <t xml:space="preserve"> Services Subtotal</t>
  </si>
  <si>
    <t>Additional Costs</t>
  </si>
  <si>
    <t>Overhead</t>
  </si>
  <si>
    <t>20% of Execution+Initiation labour, per overhead policy</t>
  </si>
  <si>
    <t>Additional Costs Subtotal</t>
  </si>
  <si>
    <t>Contingency</t>
  </si>
  <si>
    <t>Reserve</t>
  </si>
  <si>
    <t>10% contingency reserve on total project cost</t>
  </si>
  <si>
    <t>GRAND TOTAL</t>
  </si>
  <si>
    <t>Budget Summary by Category</t>
  </si>
  <si>
    <t>Amount (AUD)</t>
  </si>
  <si>
    <t>Execution (labour)</t>
  </si>
  <si>
    <t>Initiation (labour)</t>
  </si>
  <si>
    <t>Testing (vendor)</t>
  </si>
  <si>
    <t>Software/Cloud/Overheads</t>
  </si>
  <si>
    <t>Additional Costs (Overhead)</t>
  </si>
  <si>
    <t>Contingency Reserve</t>
  </si>
  <si>
    <t>CareLink HMS Implementation Project -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</si>
</sst>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[$$-409]#,##0_);[Red]\([$$-409]#,##0\)"/>
    <numFmt numFmtId="166" formatCode="[$$-409]#,##0.00"/>
    <numFmt numFmtId="167" formatCode="_(\$* #,##0.00_);_(\$* \(#,##0.00\);_(\$* \-??_);_(@_)"/>
    <numFmt numFmtId="168" formatCode="[$$-409]#,##0"/>
  </numFmts>
  <fonts count="17" x14ac:knownFonts="1">
    <font>
      <sz val="10"/>
      <name val="Arial"/>
      <charset val="1"/>
    </font>
    <font>
      <sz val="10"/>
      <name val="Tahoma"/>
      <family val="2"/>
      <charset val="1"/>
    </font>
    <font>
      <b/>
      <sz val="10"/>
      <name val="Tahoma"/>
      <family val="2"/>
      <charset val="1"/>
    </font>
    <font>
      <b/>
      <sz val="14"/>
      <color rgb="FFFFFFFF"/>
      <name val="Tahoma"/>
      <family val="2"/>
      <charset val="1"/>
    </font>
    <font>
      <b/>
      <sz val="9"/>
      <color rgb="FF800080"/>
      <name val="Tahoma"/>
      <family val="2"/>
      <charset val="1"/>
    </font>
    <font>
      <sz val="9"/>
      <name val="Tahoma"/>
      <family val="2"/>
      <charset val="1"/>
    </font>
    <font>
      <sz val="9"/>
      <color rgb="FF800080"/>
      <name val="Tahoma"/>
      <family val="2"/>
      <charset val="1"/>
    </font>
    <font>
      <b/>
      <sz val="10"/>
      <color rgb="FFFFFFFF"/>
      <name val="Tahoma"/>
      <family val="2"/>
      <charset val="1"/>
    </font>
    <font>
      <sz val="10"/>
      <color rgb="FFFFFFFF"/>
      <name val="Tahoma"/>
      <family val="2"/>
      <charset val="1"/>
    </font>
    <font>
      <sz val="10"/>
      <color rgb="FF80008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  <font>
      <b/>
      <sz val="10"/>
      <color rgb="FF800080"/>
      <name val="Tahoma"/>
      <family val="2"/>
      <charset val="1"/>
    </font>
    <font>
      <sz val="8"/>
      <name val="Tahoma"/>
      <family val="2"/>
      <charset val="1"/>
    </font>
    <font>
      <b/>
      <sz val="12"/>
      <color rgb="FFFFFFFF"/>
      <name val="Tahoma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FF6600"/>
        <bgColor rgb="FFD36F2B"/>
      </patternFill>
    </fill>
    <fill>
      <patternFill patternType="solid">
        <fgColor rgb="FFFFCC99"/>
        <bgColor rgb="FFF1A78B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B3B3B3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auto="1"/>
      </top>
      <bottom style="dashed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1"/>
    </xf>
    <xf numFmtId="3" fontId="9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horizontal="right" vertical="center" wrapText="1"/>
    </xf>
    <xf numFmtId="165" fontId="10" fillId="3" borderId="0" xfId="0" applyNumberFormat="1" applyFont="1" applyFill="1" applyAlignment="1">
      <alignment horizontal="right" vertical="center" wrapText="1"/>
    </xf>
    <xf numFmtId="165" fontId="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wrapText="1" indent="1"/>
    </xf>
    <xf numFmtId="0" fontId="11" fillId="3" borderId="2" xfId="0" applyFont="1" applyFill="1" applyBorder="1" applyAlignment="1">
      <alignment horizontal="left" vertical="center" wrapText="1" indent="1"/>
    </xf>
    <xf numFmtId="3" fontId="11" fillId="3" borderId="2" xfId="0" applyNumberFormat="1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right" vertical="center" wrapText="1"/>
    </xf>
    <xf numFmtId="165" fontId="11" fillId="3" borderId="3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 indent="1"/>
    </xf>
    <xf numFmtId="3" fontId="11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165" fontId="12" fillId="0" borderId="0" xfId="0" applyNumberFormat="1" applyFont="1" applyAlignment="1">
      <alignment horizontal="right" vertical="center" wrapText="1"/>
    </xf>
    <xf numFmtId="165" fontId="12" fillId="3" borderId="0" xfId="0" applyNumberFormat="1" applyFont="1" applyFill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166" fontId="9" fillId="0" borderId="0" xfId="0" applyNumberFormat="1" applyFont="1" applyAlignment="1">
      <alignment horizontal="right" vertical="center" wrapText="1"/>
    </xf>
    <xf numFmtId="166" fontId="10" fillId="3" borderId="0" xfId="0" applyNumberFormat="1" applyFont="1" applyFill="1" applyAlignment="1">
      <alignment horizontal="right" vertical="center" wrapText="1"/>
    </xf>
    <xf numFmtId="3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right" vertical="center" wrapText="1"/>
    </xf>
    <xf numFmtId="166" fontId="10" fillId="3" borderId="2" xfId="0" applyNumberFormat="1" applyFont="1" applyFill="1" applyBorder="1" applyAlignment="1">
      <alignment horizontal="right" vertical="center" wrapText="1"/>
    </xf>
    <xf numFmtId="166" fontId="11" fillId="3" borderId="3" xfId="0" applyNumberFormat="1" applyFont="1" applyFill="1" applyBorder="1" applyAlignment="1">
      <alignment horizontal="right" vertical="center" wrapText="1"/>
    </xf>
    <xf numFmtId="164" fontId="10" fillId="0" borderId="0" xfId="0" applyNumberFormat="1" applyFont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2"/>
    </xf>
    <xf numFmtId="166" fontId="1" fillId="3" borderId="0" xfId="0" applyNumberFormat="1" applyFont="1" applyFill="1" applyAlignment="1">
      <alignment horizontal="right" vertical="center" wrapText="1"/>
    </xf>
    <xf numFmtId="167" fontId="1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2" fillId="5" borderId="4" xfId="0" applyFont="1" applyFill="1" applyBorder="1" applyAlignment="1">
      <alignment horizontal="left" vertical="center" wrapText="1" indent="3"/>
    </xf>
    <xf numFmtId="3" fontId="2" fillId="5" borderId="4" xfId="0" applyNumberFormat="1" applyFont="1" applyFill="1" applyBorder="1" applyAlignment="1">
      <alignment horizontal="center" vertical="center" wrapText="1"/>
    </xf>
    <xf numFmtId="166" fontId="2" fillId="5" borderId="4" xfId="0" applyNumberFormat="1" applyFont="1" applyFill="1" applyBorder="1" applyAlignment="1">
      <alignment horizontal="right" vertical="center" wrapText="1"/>
    </xf>
    <xf numFmtId="166" fontId="1" fillId="5" borderId="5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/>
    </xf>
    <xf numFmtId="168" fontId="9" fillId="0" borderId="0" xfId="0" applyNumberFormat="1" applyFont="1" applyAlignment="1">
      <alignment horizontal="right" vertical="center" wrapText="1"/>
    </xf>
    <xf numFmtId="168" fontId="1" fillId="3" borderId="0" xfId="0" applyNumberFormat="1" applyFont="1" applyFill="1" applyAlignment="1">
      <alignment horizontal="right" vertical="center" wrapText="1"/>
    </xf>
    <xf numFmtId="3" fontId="1" fillId="5" borderId="4" xfId="0" applyNumberFormat="1" applyFont="1" applyFill="1" applyBorder="1" applyAlignment="1">
      <alignment horizontal="center" vertical="center" wrapText="1"/>
    </xf>
    <xf numFmtId="168" fontId="1" fillId="5" borderId="4" xfId="0" applyNumberFormat="1" applyFont="1" applyFill="1" applyBorder="1" applyAlignment="1">
      <alignment horizontal="right" vertical="center" wrapText="1"/>
    </xf>
    <xf numFmtId="168" fontId="1" fillId="5" borderId="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166" fontId="1" fillId="5" borderId="4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left" vertical="center" indent="1"/>
    </xf>
    <xf numFmtId="3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right" vertical="center"/>
    </xf>
    <xf numFmtId="166" fontId="1" fillId="3" borderId="0" xfId="0" applyNumberFormat="1" applyFont="1" applyFill="1" applyAlignment="1">
      <alignment horizontal="right" vertical="center"/>
    </xf>
    <xf numFmtId="0" fontId="11" fillId="3" borderId="2" xfId="0" applyFont="1" applyFill="1" applyBorder="1" applyAlignment="1">
      <alignment horizontal="left" vertical="center" indent="1"/>
    </xf>
    <xf numFmtId="3" fontId="11" fillId="3" borderId="2" xfId="0" applyNumberFormat="1" applyFont="1" applyFill="1" applyBorder="1" applyAlignment="1">
      <alignment horizontal="center" vertical="center"/>
    </xf>
    <xf numFmtId="166" fontId="10" fillId="3" borderId="2" xfId="0" applyNumberFormat="1" applyFont="1" applyFill="1" applyBorder="1" applyAlignment="1">
      <alignment horizontal="right" vertical="center"/>
    </xf>
    <xf numFmtId="168" fontId="11" fillId="3" borderId="2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7" fillId="4" borderId="0" xfId="0" applyFont="1" applyFill="1" applyAlignment="1">
      <alignment vertical="center"/>
    </xf>
    <xf numFmtId="3" fontId="2" fillId="4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8" fontId="10" fillId="3" borderId="0" xfId="0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vertical="center"/>
    </xf>
    <xf numFmtId="1" fontId="11" fillId="3" borderId="2" xfId="0" applyNumberFormat="1" applyFont="1" applyFill="1" applyBorder="1" applyAlignment="1">
      <alignment horizontal="center" vertical="center"/>
    </xf>
    <xf numFmtId="164" fontId="14" fillId="4" borderId="8" xfId="0" applyNumberFormat="1" applyFont="1" applyFill="1" applyBorder="1" applyAlignment="1">
      <alignment horizontal="right" vertical="center"/>
    </xf>
    <xf numFmtId="164" fontId="14" fillId="4" borderId="9" xfId="0" applyNumberFormat="1" applyFont="1" applyFill="1" applyBorder="1" applyAlignment="1">
      <alignment horizontal="right" vertical="center"/>
    </xf>
    <xf numFmtId="0" fontId="15" fillId="0" borderId="0" xfId="0" applyFont="1"/>
    <xf numFmtId="0" fontId="16" fillId="0" borderId="0" xfId="0" applyFon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4" fillId="4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18ABD"/>
      <rgbColor rgb="FF90A2D3"/>
      <rgbColor rgb="FF993366"/>
      <rgbColor rgb="FFFFFFCC"/>
      <rgbColor rgb="FFCCFFFF"/>
      <rgbColor rgb="FF660066"/>
      <rgbColor rgb="FFD36F2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1A78B"/>
      <rgbColor rgb="FFCC99FF"/>
      <rgbColor rgb="FFFFCC99"/>
      <rgbColor rgb="FF4472C4"/>
      <rgbColor rgb="FF33CCCC"/>
      <rgbColor rgb="FF99CC00"/>
      <rgbColor rgb="FFFFCC00"/>
      <rgbColor rgb="FFE3AB00"/>
      <rgbColor rgb="FFFF6600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'Budget Charts'!$B$3</c:f>
              <c:strCache>
                <c:ptCount val="1"/>
                <c:pt idx="0">
                  <c:v>Amount (AUD)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EE6-4E2B-B13F-46CFFDBCE988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EE6-4E2B-B13F-46CFFDBCE988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EE6-4E2B-B13F-46CFFDBCE988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EE6-4E2B-B13F-46CFFDBCE988}"/>
              </c:ext>
            </c:extLst>
          </c:dPt>
          <c:dPt>
            <c:idx val="4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EE6-4E2B-B13F-46CFFDBCE988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EE6-4E2B-B13F-46CFFDBCE988}"/>
              </c:ext>
            </c:extLst>
          </c:dPt>
          <c:dPt>
            <c:idx val="6"/>
            <c:bubble3D val="0"/>
            <c:spPr>
              <a:solidFill>
                <a:srgbClr val="90A2D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EE6-4E2B-B13F-46CFFDBCE988}"/>
              </c:ext>
            </c:extLst>
          </c:dPt>
          <c:dPt>
            <c:idx val="7"/>
            <c:bubble3D val="0"/>
            <c:spPr>
              <a:solidFill>
                <a:srgbClr val="F1A78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EE6-4E2B-B13F-46CFFDBCE98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E6-4E2B-B13F-46CFFDBCE98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E6-4E2B-B13F-46CFFDBCE98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E6-4E2B-B13F-46CFFDBCE98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E6-4E2B-B13F-46CFFDBCE98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E6-4E2B-B13F-46CFFDBCE98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E6-4E2B-B13F-46CFFDBCE98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E6-4E2B-B13F-46CFFDBCE988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E6-4E2B-B13F-46CFFDBCE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'Budget Charts'!$A$4:$A$11</c:f>
              <c:strCache>
                <c:ptCount val="8"/>
                <c:pt idx="0">
                  <c:v>Execution (labour)</c:v>
                </c:pt>
                <c:pt idx="1">
                  <c:v>Initiation (labour)</c:v>
                </c:pt>
                <c:pt idx="2">
                  <c:v>Testing (vendor)</c:v>
                </c:pt>
                <c:pt idx="3">
                  <c:v>Training</c:v>
                </c:pt>
                <c:pt idx="4">
                  <c:v>Software/Cloud/Overheads</c:v>
                </c:pt>
                <c:pt idx="5">
                  <c:v>Services</c:v>
                </c:pt>
                <c:pt idx="6">
                  <c:v>Additional Costs (Overhead)</c:v>
                </c:pt>
                <c:pt idx="7">
                  <c:v>Contingency Reserve</c:v>
                </c:pt>
              </c:strCache>
            </c:strRef>
          </c:cat>
          <c:val>
            <c:numRef>
              <c:f>'Budget Charts'!$B$4:$B$11</c:f>
              <c:numCache>
                <c:formatCode>[$$-409]#,##0_);[Red]\([$$-409]#,##0\)</c:formatCode>
                <c:ptCount val="8"/>
                <c:pt idx="0">
                  <c:v>300000</c:v>
                </c:pt>
                <c:pt idx="1">
                  <c:v>42000</c:v>
                </c:pt>
                <c:pt idx="2" formatCode="[$$-409]#,##0.00">
                  <c:v>120000</c:v>
                </c:pt>
                <c:pt idx="3" formatCode="[$$-409]#,##0.00">
                  <c:v>54000</c:v>
                </c:pt>
                <c:pt idx="4" formatCode="[$$-409]#,##0">
                  <c:v>910000</c:v>
                </c:pt>
                <c:pt idx="5" formatCode="[$$-409]#,##0">
                  <c:v>130000</c:v>
                </c:pt>
                <c:pt idx="6" formatCode="[$$-409]#,##0.00">
                  <c:v>68400</c:v>
                </c:pt>
                <c:pt idx="7" formatCode="[$$-409]#,##0">
                  <c:v>162440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EE6-4E2B-B13F-46CFFDBC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by Category (AUD)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Charts'!$B$3</c:f>
              <c:strCache>
                <c:ptCount val="1"/>
                <c:pt idx="0">
                  <c:v>Amount (AUD)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Charts'!$A$4:$A$11</c:f>
              <c:strCache>
                <c:ptCount val="8"/>
                <c:pt idx="0">
                  <c:v>Execution (labour)</c:v>
                </c:pt>
                <c:pt idx="1">
                  <c:v>Initiation (labour)</c:v>
                </c:pt>
                <c:pt idx="2">
                  <c:v>Testing (vendor)</c:v>
                </c:pt>
                <c:pt idx="3">
                  <c:v>Training</c:v>
                </c:pt>
                <c:pt idx="4">
                  <c:v>Software/Cloud/Overheads</c:v>
                </c:pt>
                <c:pt idx="5">
                  <c:v>Services</c:v>
                </c:pt>
                <c:pt idx="6">
                  <c:v>Additional Costs (Overhead)</c:v>
                </c:pt>
                <c:pt idx="7">
                  <c:v>Contingency Reserve</c:v>
                </c:pt>
              </c:strCache>
            </c:strRef>
          </c:cat>
          <c:val>
            <c:numRef>
              <c:f>'Budget Charts'!$B$4:$B$11</c:f>
              <c:numCache>
                <c:formatCode>[$$-409]#,##0_);[Red]\([$$-409]#,##0\)</c:formatCode>
                <c:ptCount val="8"/>
                <c:pt idx="0">
                  <c:v>300000</c:v>
                </c:pt>
                <c:pt idx="1">
                  <c:v>42000</c:v>
                </c:pt>
                <c:pt idx="2" formatCode="[$$-409]#,##0.00">
                  <c:v>120000</c:v>
                </c:pt>
                <c:pt idx="3" formatCode="[$$-409]#,##0.00">
                  <c:v>54000</c:v>
                </c:pt>
                <c:pt idx="4" formatCode="[$$-409]#,##0">
                  <c:v>910000</c:v>
                </c:pt>
                <c:pt idx="5" formatCode="[$$-409]#,##0">
                  <c:v>130000</c:v>
                </c:pt>
                <c:pt idx="6" formatCode="[$$-409]#,##0.00">
                  <c:v>68400</c:v>
                </c:pt>
                <c:pt idx="7" formatCode="[$$-409]#,##0">
                  <c:v>162440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8-4614-807E-E08FBC826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39077"/>
        <c:axId val="84898204"/>
      </c:barChart>
      <c:catAx>
        <c:axId val="630390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898204"/>
        <c:crosses val="autoZero"/>
        <c:auto val="1"/>
        <c:lblAlgn val="ctr"/>
        <c:lblOffset val="100"/>
        <c:noMultiLvlLbl val="0"/>
      </c:catAx>
      <c:valAx>
        <c:axId val="848982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_);[Red]\([$$-409]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390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594730</xdr:colOff>
      <xdr:row>1</xdr:row>
      <xdr:rowOff>103678</xdr:rowOff>
    </xdr:from>
    <xdr:to>
      <xdr:col>28</xdr:col>
      <xdr:colOff>58615</xdr:colOff>
      <xdr:row>64</xdr:row>
      <xdr:rowOff>102577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370298</xdr:colOff>
      <xdr:row>70</xdr:row>
      <xdr:rowOff>73387</xdr:rowOff>
    </xdr:from>
    <xdr:to>
      <xdr:col>17</xdr:col>
      <xdr:colOff>282807</xdr:colOff>
      <xdr:row>92</xdr:row>
      <xdr:rowOff>110467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99"/>
  </sheetPr>
  <dimension ref="A1:F70"/>
  <sheetViews>
    <sheetView tabSelected="1" zoomScale="81" zoomScaleNormal="31" workbookViewId="0">
      <pane ySplit="2" topLeftCell="A3" activePane="bottomLeft" state="frozen"/>
      <selection pane="bottomLeft"/>
    </sheetView>
  </sheetViews>
  <sheetFormatPr defaultColWidth="9.109375" defaultRowHeight="13.2" x14ac:dyDescent="0.25"/>
  <cols>
    <col min="1" max="1" width="66.5546875" style="1" bestFit="1" customWidth="1"/>
    <col min="2" max="2" width="9.33203125" style="2" bestFit="1" customWidth="1"/>
    <col min="3" max="3" width="11.77734375" style="3" bestFit="1" customWidth="1"/>
    <col min="4" max="4" width="13.44140625" style="3" bestFit="1" customWidth="1"/>
    <col min="5" max="5" width="55.88671875" style="1" bestFit="1" customWidth="1"/>
    <col min="6" max="16384" width="9.109375" style="1"/>
  </cols>
  <sheetData>
    <row r="1" spans="1:5" ht="24.75" customHeight="1" x14ac:dyDescent="0.25">
      <c r="A1" s="4" t="s">
        <v>58</v>
      </c>
      <c r="B1" s="5"/>
      <c r="C1" s="5"/>
      <c r="D1" s="5"/>
      <c r="E1" s="5"/>
    </row>
    <row r="2" spans="1:5" s="10" customFormat="1" ht="33" customHeight="1" x14ac:dyDescent="0.25">
      <c r="A2" s="6" t="s">
        <v>0</v>
      </c>
      <c r="B2" s="7" t="s">
        <v>1</v>
      </c>
      <c r="C2" s="8" t="s">
        <v>2</v>
      </c>
      <c r="D2" s="8" t="s">
        <v>3</v>
      </c>
      <c r="E2" s="9" t="s">
        <v>4</v>
      </c>
    </row>
    <row r="3" spans="1:5" s="10" customFormat="1" ht="7.5" customHeight="1" x14ac:dyDescent="0.25">
      <c r="A3" s="11"/>
      <c r="B3" s="12"/>
      <c r="C3" s="13"/>
      <c r="D3" s="13"/>
      <c r="E3" s="14"/>
    </row>
    <row r="4" spans="1:5" s="19" customFormat="1" ht="13.5" customHeight="1" x14ac:dyDescent="0.25">
      <c r="A4" s="15" t="s">
        <v>5</v>
      </c>
      <c r="B4" s="16" t="s">
        <v>6</v>
      </c>
      <c r="C4" s="17" t="s">
        <v>7</v>
      </c>
      <c r="D4" s="17"/>
      <c r="E4" s="18" t="s">
        <v>8</v>
      </c>
    </row>
    <row r="5" spans="1:5" s="19" customFormat="1" ht="15" customHeight="1" x14ac:dyDescent="0.25">
      <c r="A5" s="20" t="s">
        <v>9</v>
      </c>
      <c r="B5" s="21">
        <v>100</v>
      </c>
      <c r="C5" s="22">
        <v>600</v>
      </c>
      <c r="D5" s="23">
        <f>B5*C5</f>
        <v>60000</v>
      </c>
      <c r="E5" s="1" t="s">
        <v>10</v>
      </c>
    </row>
    <row r="6" spans="1:5" s="19" customFormat="1" ht="15" customHeight="1" x14ac:dyDescent="0.25">
      <c r="A6" s="20" t="s">
        <v>11</v>
      </c>
      <c r="B6" s="21">
        <v>60</v>
      </c>
      <c r="C6" s="22">
        <v>550</v>
      </c>
      <c r="D6" s="23">
        <f>B6*C6</f>
        <v>33000</v>
      </c>
      <c r="E6" s="1" t="s">
        <v>12</v>
      </c>
    </row>
    <row r="7" spans="1:5" s="19" customFormat="1" ht="52.5" customHeight="1" x14ac:dyDescent="0.25">
      <c r="C7" s="24"/>
      <c r="D7" s="24"/>
    </row>
    <row r="8" spans="1:5" s="19" customFormat="1" ht="15" customHeight="1" x14ac:dyDescent="0.25">
      <c r="A8" s="20" t="s">
        <v>13</v>
      </c>
      <c r="B8" s="21">
        <v>300</v>
      </c>
      <c r="C8" s="22">
        <v>650</v>
      </c>
      <c r="D8" s="23">
        <f>B8*C8</f>
        <v>195000</v>
      </c>
      <c r="E8" s="1" t="s">
        <v>14</v>
      </c>
    </row>
    <row r="9" spans="1:5" s="19" customFormat="1" ht="15" customHeight="1" x14ac:dyDescent="0.25">
      <c r="A9" s="25" t="s">
        <v>15</v>
      </c>
      <c r="B9" s="21">
        <v>20</v>
      </c>
      <c r="C9" s="22">
        <v>600</v>
      </c>
      <c r="D9" s="23">
        <f>B9*C9</f>
        <v>12000</v>
      </c>
      <c r="E9" s="1" t="s">
        <v>16</v>
      </c>
    </row>
    <row r="10" spans="1:5" s="10" customFormat="1" ht="13.5" customHeight="1" x14ac:dyDescent="0.25">
      <c r="A10" s="26" t="s">
        <v>17</v>
      </c>
      <c r="B10" s="27"/>
      <c r="C10" s="28"/>
      <c r="D10" s="29">
        <f>SUM(D5:D9)</f>
        <v>300000</v>
      </c>
      <c r="E10" s="30"/>
    </row>
    <row r="11" spans="1:5" s="10" customFormat="1" ht="7.5" customHeight="1" x14ac:dyDescent="0.25">
      <c r="A11" s="31"/>
      <c r="B11" s="32"/>
      <c r="C11" s="33"/>
      <c r="D11" s="34"/>
      <c r="E11" s="35"/>
    </row>
    <row r="12" spans="1:5" s="19" customFormat="1" ht="13.5" customHeight="1" x14ac:dyDescent="0.25">
      <c r="A12" s="15" t="s">
        <v>18</v>
      </c>
      <c r="B12" s="36"/>
      <c r="C12" s="37"/>
      <c r="D12" s="37"/>
      <c r="E12" s="38"/>
    </row>
    <row r="13" spans="1:5" s="19" customFormat="1" ht="15" customHeight="1" x14ac:dyDescent="0.25">
      <c r="A13" s="20" t="s">
        <v>9</v>
      </c>
      <c r="B13" s="21">
        <v>20</v>
      </c>
      <c r="C13" s="22">
        <v>600</v>
      </c>
      <c r="D13" s="23">
        <f>B13*C13</f>
        <v>12000</v>
      </c>
      <c r="E13" s="1" t="s">
        <v>19</v>
      </c>
    </row>
    <row r="14" spans="1:5" s="19" customFormat="1" ht="15" customHeight="1" x14ac:dyDescent="0.25">
      <c r="A14" s="20" t="s">
        <v>15</v>
      </c>
      <c r="B14" s="21">
        <v>10</v>
      </c>
      <c r="C14" s="22">
        <v>600</v>
      </c>
      <c r="D14" s="23">
        <f>B14*C14</f>
        <v>6000</v>
      </c>
      <c r="E14" s="1" t="s">
        <v>20</v>
      </c>
    </row>
    <row r="15" spans="1:5" s="19" customFormat="1" ht="15" customHeight="1" x14ac:dyDescent="0.25">
      <c r="A15" s="20" t="s">
        <v>21</v>
      </c>
      <c r="B15" s="21">
        <v>40</v>
      </c>
      <c r="C15" s="22">
        <v>600</v>
      </c>
      <c r="D15" s="23">
        <f>B15*C15</f>
        <v>24000</v>
      </c>
      <c r="E15" s="1" t="s">
        <v>22</v>
      </c>
    </row>
    <row r="16" spans="1:5" s="19" customFormat="1" ht="13.5" customHeight="1" x14ac:dyDescent="0.25">
      <c r="A16" s="20"/>
      <c r="B16" s="21"/>
      <c r="C16" s="22"/>
      <c r="D16" s="23"/>
      <c r="E16" s="39"/>
    </row>
    <row r="17" spans="1:6" s="19" customFormat="1" ht="13.5" customHeight="1" x14ac:dyDescent="0.25">
      <c r="A17" s="25"/>
      <c r="B17" s="40"/>
      <c r="C17" s="41"/>
      <c r="D17" s="42"/>
      <c r="E17" s="39" t="s">
        <v>23</v>
      </c>
    </row>
    <row r="18" spans="1:6" s="19" customFormat="1" ht="13.5" customHeight="1" x14ac:dyDescent="0.25">
      <c r="A18" s="26" t="s">
        <v>24</v>
      </c>
      <c r="B18" s="27"/>
      <c r="C18" s="28"/>
      <c r="D18" s="29">
        <f>SUM(D13:D17)</f>
        <v>42000</v>
      </c>
      <c r="E18" s="43"/>
    </row>
    <row r="19" spans="1:6" s="19" customFormat="1" ht="7.5" customHeight="1" x14ac:dyDescent="0.25">
      <c r="A19" s="31"/>
      <c r="B19" s="32"/>
      <c r="C19" s="33"/>
      <c r="D19" s="34"/>
      <c r="E19" s="35"/>
    </row>
    <row r="20" spans="1:6" s="19" customFormat="1" ht="33.75" customHeight="1" x14ac:dyDescent="0.25">
      <c r="A20" s="15" t="s">
        <v>25</v>
      </c>
      <c r="B20" s="36"/>
      <c r="C20" s="37"/>
      <c r="D20" s="37"/>
      <c r="E20" s="38"/>
    </row>
    <row r="21" spans="1:6" s="19" customFormat="1" ht="13.5" customHeight="1" x14ac:dyDescent="0.25">
      <c r="A21" s="20"/>
      <c r="B21" s="21"/>
      <c r="C21" s="44"/>
      <c r="D21" s="45"/>
      <c r="E21" s="39"/>
    </row>
    <row r="22" spans="1:6" s="19" customFormat="1" ht="15" customHeight="1" x14ac:dyDescent="0.25">
      <c r="A22" s="20" t="s">
        <v>26</v>
      </c>
      <c r="B22" s="21"/>
      <c r="C22" s="44"/>
      <c r="D22" s="45">
        <v>120000</v>
      </c>
      <c r="E22" s="1" t="s">
        <v>27</v>
      </c>
    </row>
    <row r="23" spans="1:6" s="19" customFormat="1" ht="19.5" customHeight="1" x14ac:dyDescent="0.25">
      <c r="A23" s="20"/>
      <c r="B23" s="21"/>
      <c r="C23" s="44"/>
      <c r="D23" s="45"/>
      <c r="E23" s="39"/>
    </row>
    <row r="24" spans="1:6" s="19" customFormat="1" ht="13.5" hidden="1" customHeight="1" x14ac:dyDescent="0.25">
      <c r="A24" s="25"/>
      <c r="B24" s="46"/>
      <c r="C24" s="47"/>
      <c r="D24" s="45"/>
      <c r="E24" s="39"/>
    </row>
    <row r="25" spans="1:6" s="10" customFormat="1" ht="13.5" hidden="1" customHeight="1" x14ac:dyDescent="0.25">
      <c r="A25" s="26" t="s">
        <v>28</v>
      </c>
      <c r="B25" s="27"/>
      <c r="C25" s="48"/>
      <c r="D25" s="49">
        <f>SUM(D21:D24)</f>
        <v>120000</v>
      </c>
      <c r="E25" s="43"/>
    </row>
    <row r="26" spans="1:6" s="10" customFormat="1" ht="21" customHeight="1" x14ac:dyDescent="0.25">
      <c r="A26" s="31"/>
      <c r="B26" s="32"/>
      <c r="C26" s="50"/>
      <c r="D26" s="34"/>
      <c r="E26" s="35"/>
    </row>
    <row r="27" spans="1:6" s="19" customFormat="1" ht="13.5" customHeight="1" x14ac:dyDescent="0.25">
      <c r="A27" s="15" t="s">
        <v>29</v>
      </c>
      <c r="B27" s="51"/>
      <c r="C27" s="52"/>
      <c r="D27" s="53"/>
      <c r="E27" s="54"/>
    </row>
    <row r="28" spans="1:6" s="19" customFormat="1" ht="15" customHeight="1" x14ac:dyDescent="0.25">
      <c r="A28" s="20" t="s">
        <v>30</v>
      </c>
      <c r="B28" s="21">
        <v>60</v>
      </c>
      <c r="C28" s="22">
        <v>900</v>
      </c>
      <c r="D28" s="23">
        <f>B28*C28</f>
        <v>54000</v>
      </c>
      <c r="E28" s="1" t="s">
        <v>31</v>
      </c>
    </row>
    <row r="29" spans="1:6" s="59" customFormat="1" ht="12.75" customHeight="1" x14ac:dyDescent="0.25">
      <c r="A29" s="55"/>
      <c r="B29" s="40"/>
      <c r="C29" s="44"/>
      <c r="D29" s="56"/>
      <c r="E29" s="57"/>
      <c r="F29" s="58"/>
    </row>
    <row r="30" spans="1:6" s="59" customFormat="1" ht="13.5" customHeight="1" x14ac:dyDescent="0.25">
      <c r="A30" s="55"/>
      <c r="B30" s="40"/>
      <c r="C30" s="44"/>
      <c r="D30" s="56"/>
      <c r="E30" s="57"/>
      <c r="F30" s="58"/>
    </row>
    <row r="31" spans="1:6" ht="13.5" customHeight="1" x14ac:dyDescent="0.25">
      <c r="A31" s="60" t="s">
        <v>32</v>
      </c>
      <c r="B31" s="61"/>
      <c r="C31" s="62"/>
      <c r="D31" s="63">
        <f>SUM(D28:D30)</f>
        <v>54000</v>
      </c>
      <c r="E31" s="64"/>
    </row>
    <row r="32" spans="1:6" ht="7.5" customHeight="1" x14ac:dyDescent="0.25">
      <c r="A32" s="65"/>
      <c r="B32" s="66"/>
      <c r="C32" s="67"/>
      <c r="D32" s="67"/>
      <c r="E32" s="39"/>
    </row>
    <row r="33" spans="1:5" s="69" customFormat="1" ht="25.5" customHeight="1" x14ac:dyDescent="0.25">
      <c r="A33" s="68" t="s">
        <v>33</v>
      </c>
      <c r="B33" s="66"/>
      <c r="C33" s="67"/>
      <c r="D33" s="67"/>
      <c r="E33" s="39"/>
    </row>
    <row r="34" spans="1:5" ht="12.75" customHeight="1" x14ac:dyDescent="0.25">
      <c r="A34" s="55"/>
      <c r="B34" s="21"/>
      <c r="C34" s="44"/>
      <c r="D34" s="56"/>
      <c r="E34" s="39"/>
    </row>
    <row r="35" spans="1:5" ht="15" customHeight="1" x14ac:dyDescent="0.25">
      <c r="A35" s="55" t="s">
        <v>34</v>
      </c>
      <c r="B35" s="21">
        <v>1</v>
      </c>
      <c r="C35" s="70">
        <v>60000</v>
      </c>
      <c r="D35" s="71">
        <f>B35*C35</f>
        <v>60000</v>
      </c>
      <c r="E35" s="1" t="s">
        <v>35</v>
      </c>
    </row>
    <row r="36" spans="1:5" ht="15" customHeight="1" x14ac:dyDescent="0.25">
      <c r="A36" s="55" t="s">
        <v>36</v>
      </c>
      <c r="B36" s="21">
        <v>1</v>
      </c>
      <c r="C36" s="70">
        <v>850000</v>
      </c>
      <c r="D36" s="71">
        <f>B36*C36</f>
        <v>850000</v>
      </c>
      <c r="E36" s="1" t="s">
        <v>37</v>
      </c>
    </row>
    <row r="38" spans="1:5" s="69" customFormat="1" ht="13.5" customHeight="1" x14ac:dyDescent="0.25">
      <c r="A38" s="60" t="s">
        <v>32</v>
      </c>
      <c r="B38" s="72"/>
      <c r="C38" s="73"/>
      <c r="D38" s="74">
        <f>SUM(D34:D37)</f>
        <v>910000</v>
      </c>
      <c r="E38" s="64"/>
    </row>
    <row r="39" spans="1:5" ht="7.5" customHeight="1" x14ac:dyDescent="0.25">
      <c r="A39" s="75"/>
      <c r="B39" s="76"/>
      <c r="C39" s="77"/>
      <c r="D39" s="77"/>
      <c r="E39" s="39"/>
    </row>
    <row r="40" spans="1:5" s="69" customFormat="1" ht="12.75" customHeight="1" x14ac:dyDescent="0.25">
      <c r="A40" s="68" t="s">
        <v>38</v>
      </c>
      <c r="B40" s="66"/>
      <c r="C40" s="67"/>
      <c r="D40" s="67"/>
      <c r="E40" s="39"/>
    </row>
    <row r="41" spans="1:5" ht="15" customHeight="1" x14ac:dyDescent="0.25">
      <c r="A41" s="55" t="s">
        <v>39</v>
      </c>
      <c r="B41" s="21">
        <v>1</v>
      </c>
      <c r="C41" s="70">
        <v>130000</v>
      </c>
      <c r="D41" s="56">
        <f>B41*C41</f>
        <v>130000</v>
      </c>
      <c r="E41" s="1" t="s">
        <v>40</v>
      </c>
    </row>
    <row r="42" spans="1:5" ht="12.75" customHeight="1" x14ac:dyDescent="0.25">
      <c r="A42" s="55"/>
      <c r="B42" s="21"/>
      <c r="C42" s="70"/>
      <c r="D42" s="71"/>
      <c r="E42" s="39"/>
    </row>
    <row r="43" spans="1:5" ht="12.75" customHeight="1" x14ac:dyDescent="0.25">
      <c r="A43" s="55"/>
      <c r="B43" s="21"/>
      <c r="C43" s="44"/>
      <c r="D43" s="56"/>
      <c r="E43" s="39"/>
    </row>
    <row r="44" spans="1:5" ht="12.75" customHeight="1" x14ac:dyDescent="0.25">
      <c r="A44" s="55"/>
      <c r="B44" s="21"/>
      <c r="C44" s="44"/>
      <c r="D44" s="56"/>
      <c r="E44" s="39"/>
    </row>
    <row r="45" spans="1:5" ht="12.75" customHeight="1" x14ac:dyDescent="0.25">
      <c r="A45" s="55"/>
      <c r="B45" s="21"/>
      <c r="C45" s="44"/>
      <c r="D45" s="56"/>
      <c r="E45" s="39"/>
    </row>
    <row r="46" spans="1:5" ht="12.75" customHeight="1" x14ac:dyDescent="0.25">
      <c r="A46" s="55"/>
      <c r="B46" s="21"/>
      <c r="C46" s="44"/>
      <c r="D46" s="56"/>
      <c r="E46" s="39"/>
    </row>
    <row r="47" spans="1:5" ht="12.75" customHeight="1" x14ac:dyDescent="0.25">
      <c r="A47" s="55"/>
      <c r="B47" s="21"/>
      <c r="C47" s="44"/>
      <c r="D47" s="56"/>
      <c r="E47" s="39"/>
    </row>
    <row r="48" spans="1:5" ht="12.75" customHeight="1" x14ac:dyDescent="0.25">
      <c r="A48" s="55"/>
      <c r="B48" s="40"/>
      <c r="C48" s="44"/>
      <c r="D48" s="56"/>
      <c r="E48" s="39"/>
    </row>
    <row r="49" spans="1:5" ht="12.75" customHeight="1" x14ac:dyDescent="0.25">
      <c r="A49" s="60" t="s">
        <v>41</v>
      </c>
      <c r="B49" s="61"/>
      <c r="C49" s="78"/>
      <c r="D49" s="74">
        <f>SUM(D41:D48)</f>
        <v>130000</v>
      </c>
      <c r="E49" s="64"/>
    </row>
    <row r="50" spans="1:5" ht="7.5" customHeight="1" x14ac:dyDescent="0.25">
      <c r="A50" s="65"/>
      <c r="B50" s="66"/>
      <c r="C50" s="77"/>
      <c r="D50" s="77"/>
      <c r="E50" s="39"/>
    </row>
    <row r="51" spans="1:5" ht="12.75" customHeight="1" x14ac:dyDescent="0.25">
      <c r="A51" s="68" t="s">
        <v>42</v>
      </c>
      <c r="B51" s="66"/>
      <c r="C51" s="67"/>
      <c r="D51" s="67"/>
      <c r="E51" s="39"/>
    </row>
    <row r="52" spans="1:5" ht="15" customHeight="1" x14ac:dyDescent="0.25">
      <c r="A52" s="55" t="s">
        <v>43</v>
      </c>
      <c r="B52" s="21">
        <v>1</v>
      </c>
      <c r="C52" s="70">
        <f>(D10+D18)*0.2</f>
        <v>68400</v>
      </c>
      <c r="D52" s="71">
        <f>B52*C52</f>
        <v>68400</v>
      </c>
      <c r="E52" s="1" t="s">
        <v>44</v>
      </c>
    </row>
    <row r="53" spans="1:5" ht="12.75" customHeight="1" x14ac:dyDescent="0.25">
      <c r="A53" s="55"/>
      <c r="B53" s="40"/>
      <c r="C53" s="44"/>
      <c r="D53" s="56"/>
      <c r="E53" s="39"/>
    </row>
    <row r="54" spans="1:5" ht="12.75" customHeight="1" x14ac:dyDescent="0.25">
      <c r="A54" s="55"/>
      <c r="B54" s="40" t="s">
        <v>23</v>
      </c>
      <c r="C54" s="44"/>
      <c r="D54" s="56"/>
      <c r="E54" s="39"/>
    </row>
    <row r="55" spans="1:5" ht="12.75" customHeight="1" x14ac:dyDescent="0.25">
      <c r="A55" s="55"/>
      <c r="B55" s="40"/>
      <c r="C55" s="44"/>
      <c r="D55" s="56"/>
      <c r="E55" s="39"/>
    </row>
    <row r="56" spans="1:5" s="69" customFormat="1" ht="12.75" customHeight="1" x14ac:dyDescent="0.25">
      <c r="A56" s="60" t="s">
        <v>45</v>
      </c>
      <c r="B56" s="61"/>
      <c r="C56" s="62"/>
      <c r="D56" s="63">
        <f>SUM(D52:D55)</f>
        <v>68400</v>
      </c>
      <c r="E56" s="64"/>
    </row>
    <row r="57" spans="1:5" ht="12.75" customHeight="1" x14ac:dyDescent="0.25">
      <c r="A57" s="79"/>
      <c r="B57" s="80"/>
      <c r="C57" s="81"/>
      <c r="D57" s="82"/>
      <c r="E57" s="83"/>
    </row>
    <row r="58" spans="1:5" ht="12.75" customHeight="1" x14ac:dyDescent="0.25">
      <c r="A58" s="84"/>
      <c r="B58" s="85"/>
      <c r="C58" s="86"/>
      <c r="D58" s="87"/>
      <c r="E58" s="19"/>
    </row>
    <row r="59" spans="1:5" s="69" customFormat="1" ht="17.25" customHeight="1" x14ac:dyDescent="0.25">
      <c r="A59" s="88" t="s">
        <v>17</v>
      </c>
      <c r="B59" s="89"/>
      <c r="C59" s="90"/>
      <c r="D59" s="91">
        <f>D56+D49+D38+D31+D25+D18+D10</f>
        <v>1624400</v>
      </c>
      <c r="E59" s="92"/>
    </row>
    <row r="60" spans="1:5" ht="12.75" customHeight="1" x14ac:dyDescent="0.25">
      <c r="A60" s="84"/>
      <c r="B60" s="85"/>
      <c r="E60" s="19"/>
    </row>
    <row r="61" spans="1:5" ht="12.75" customHeight="1" x14ac:dyDescent="0.25">
      <c r="A61" s="93" t="s">
        <v>46</v>
      </c>
      <c r="B61" s="94"/>
      <c r="C61" s="95"/>
      <c r="D61" s="95"/>
      <c r="E61" s="54"/>
    </row>
    <row r="62" spans="1:5" ht="15" customHeight="1" x14ac:dyDescent="0.25">
      <c r="A62" s="79" t="s">
        <v>47</v>
      </c>
      <c r="B62" s="80">
        <v>1</v>
      </c>
      <c r="C62" s="96">
        <f>D59*0.1</f>
        <v>162440</v>
      </c>
      <c r="D62" s="97">
        <f>B62*C62</f>
        <v>162440</v>
      </c>
      <c r="E62" s="84" t="s">
        <v>48</v>
      </c>
    </row>
    <row r="63" spans="1:5" ht="12.75" customHeight="1" x14ac:dyDescent="0.25">
      <c r="A63" s="79"/>
      <c r="B63" s="80"/>
      <c r="C63" s="81"/>
      <c r="D63" s="82"/>
      <c r="E63" s="83"/>
    </row>
    <row r="64" spans="1:5" ht="12.75" customHeight="1" x14ac:dyDescent="0.25">
      <c r="A64" s="79"/>
      <c r="B64" s="80"/>
      <c r="C64" s="81"/>
      <c r="D64" s="82"/>
      <c r="E64" s="83"/>
    </row>
    <row r="65" spans="1:5" ht="12.75" customHeight="1" x14ac:dyDescent="0.25">
      <c r="A65" s="79"/>
      <c r="B65" s="80"/>
      <c r="C65" s="81"/>
      <c r="D65" s="82"/>
      <c r="E65" s="83"/>
    </row>
    <row r="66" spans="1:5" ht="12.75" customHeight="1" x14ac:dyDescent="0.25">
      <c r="A66" s="84"/>
      <c r="B66" s="98"/>
      <c r="C66" s="99"/>
      <c r="D66" s="82"/>
      <c r="E66" s="83"/>
    </row>
    <row r="67" spans="1:5" s="69" customFormat="1" ht="17.25" customHeight="1" x14ac:dyDescent="0.25">
      <c r="A67" s="100"/>
      <c r="B67" s="101"/>
      <c r="C67" s="90"/>
      <c r="D67" s="74">
        <f>SUM(D62:D66)</f>
        <v>162440</v>
      </c>
      <c r="E67" s="92"/>
    </row>
    <row r="68" spans="1:5" ht="13.5" customHeight="1" x14ac:dyDescent="0.25">
      <c r="E68" s="19"/>
    </row>
    <row r="69" spans="1:5" ht="24.75" customHeight="1" x14ac:dyDescent="0.25">
      <c r="A69" s="109" t="s">
        <v>49</v>
      </c>
      <c r="B69" s="109"/>
      <c r="C69" s="102"/>
      <c r="D69" s="103"/>
      <c r="E69" s="91">
        <f>D59+D67</f>
        <v>1786840</v>
      </c>
    </row>
    <row r="70" spans="1:5" ht="13.5" customHeight="1" x14ac:dyDescent="0.25"/>
  </sheetData>
  <mergeCells count="1">
    <mergeCell ref="A69:B69"/>
  </mergeCells>
  <pageMargins left="1.2" right="0.25" top="0.360416666666667" bottom="0.32986111111111099" header="0.17013888888888901" footer="0.17013888888888901"/>
  <pageSetup scale="90" orientation="landscape" horizontalDpi="300" verticalDpi="300"/>
  <headerFooter>
    <oddHeader>&amp;C&amp;A</oddHeader>
    <oddFooter>&amp;LConfidential Proprietary&amp;R&amp;8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0080"/>
    <pageSetUpPr fitToPage="1"/>
  </sheetPr>
  <dimension ref="A1:B11"/>
  <sheetViews>
    <sheetView topLeftCell="A8" zoomScale="64" zoomScaleNormal="100" workbookViewId="0">
      <selection activeCell="T89" sqref="T89"/>
    </sheetView>
  </sheetViews>
  <sheetFormatPr defaultColWidth="8.6640625" defaultRowHeight="13.2" x14ac:dyDescent="0.25"/>
  <cols>
    <col min="1" max="1" width="28" customWidth="1"/>
    <col min="2" max="2" width="14" customWidth="1"/>
  </cols>
  <sheetData>
    <row r="1" spans="1:2" ht="17.25" customHeight="1" x14ac:dyDescent="0.3">
      <c r="A1" s="104" t="s">
        <v>50</v>
      </c>
    </row>
    <row r="3" spans="1:2" ht="13.5" customHeight="1" x14ac:dyDescent="0.25">
      <c r="A3" s="105" t="s">
        <v>0</v>
      </c>
      <c r="B3" s="105" t="s">
        <v>51</v>
      </c>
    </row>
    <row r="4" spans="1:2" ht="12.75" customHeight="1" x14ac:dyDescent="0.25">
      <c r="A4" t="s">
        <v>52</v>
      </c>
      <c r="B4" s="106">
        <f>'project budget'!D10</f>
        <v>300000</v>
      </c>
    </row>
    <row r="5" spans="1:2" ht="12.75" customHeight="1" x14ac:dyDescent="0.25">
      <c r="A5" t="s">
        <v>53</v>
      </c>
      <c r="B5" s="106">
        <f>'project budget'!D18</f>
        <v>42000</v>
      </c>
    </row>
    <row r="6" spans="1:2" ht="12.75" customHeight="1" x14ac:dyDescent="0.25">
      <c r="A6" t="s">
        <v>54</v>
      </c>
      <c r="B6" s="107">
        <f>'project budget'!D25</f>
        <v>120000</v>
      </c>
    </row>
    <row r="7" spans="1:2" ht="12.75" customHeight="1" x14ac:dyDescent="0.25">
      <c r="A7" t="s">
        <v>29</v>
      </c>
      <c r="B7" s="107">
        <f>'project budget'!D31</f>
        <v>54000</v>
      </c>
    </row>
    <row r="8" spans="1:2" ht="12.75" customHeight="1" x14ac:dyDescent="0.25">
      <c r="A8" t="s">
        <v>55</v>
      </c>
      <c r="B8" s="108">
        <f>'project budget'!D38</f>
        <v>910000</v>
      </c>
    </row>
    <row r="9" spans="1:2" ht="12.75" customHeight="1" x14ac:dyDescent="0.25">
      <c r="A9" t="s">
        <v>38</v>
      </c>
      <c r="B9" s="108">
        <f>'project budget'!D49</f>
        <v>130000</v>
      </c>
    </row>
    <row r="10" spans="1:2" ht="12.75" customHeight="1" x14ac:dyDescent="0.25">
      <c r="A10" t="s">
        <v>56</v>
      </c>
      <c r="B10" s="107">
        <f>'project budget'!D56</f>
        <v>68400</v>
      </c>
    </row>
    <row r="11" spans="1:2" ht="12.75" customHeight="1" x14ac:dyDescent="0.25">
      <c r="A11" t="s">
        <v>57</v>
      </c>
      <c r="B11" s="108">
        <f>'project budget'!D62</f>
        <v>162440</v>
      </c>
    </row>
  </sheetData>
  <pageMargins left="1.27986111111111" right="0.75" top="1.3902777777777799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budget</vt:lpstr>
      <vt:lpstr>Budget Charts</vt:lpstr>
      <vt:lpstr>'Budget Charts'!Print_Area</vt:lpstr>
      <vt:lpstr>'project budget'!Print_Area</vt:lpstr>
      <vt:lpstr>'project budget'!Print_Titles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 unsworth</dc:creator>
  <dc:description/>
  <cp:lastModifiedBy>Rojan Chandra Poudel</cp:lastModifiedBy>
  <cp:revision>7</cp:revision>
  <cp:lastPrinted>2004-09-15T17:44:51Z</cp:lastPrinted>
  <dcterms:created xsi:type="dcterms:W3CDTF">2002-03-19T21:41:08Z</dcterms:created>
  <dcterms:modified xsi:type="dcterms:W3CDTF">2026-10-17T08:42:09Z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TC011507371033</vt:lpwstr>
  </property>
</Properties>
</file>