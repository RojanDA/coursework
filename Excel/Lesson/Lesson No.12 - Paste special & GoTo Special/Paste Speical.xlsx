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xcel\SD108\Lesson No.12 - Paste special &amp; GoTo Special\"/>
    </mc:Choice>
  </mc:AlternateContent>
  <bookViews>
    <workbookView xWindow="0" yWindow="0" windowWidth="20496" windowHeight="7452" tabRatio="774"/>
  </bookViews>
  <sheets>
    <sheet name="MAIN SHEET" sheetId="1" r:id="rId1"/>
    <sheet name="BLANKS" sheetId="4" r:id="rId2"/>
    <sheet name="ARRAY" sheetId="2" r:id="rId3"/>
    <sheet name="OBJECT" sheetId="3" r:id="rId4"/>
    <sheet name="ROW DIFFERENCE" sheetId="5" r:id="rId5"/>
    <sheet name="COLUMN DIFFERENCE" sheetId="6" r:id="rId6"/>
    <sheet name="VISIBLE CELLS" sheetId="7" r:id="rId7"/>
    <sheet name="Sheet8" sheetId="8" r:id="rId8"/>
    <sheet name="Sheet9" sheetId="9" r:id="rId9"/>
    <sheet name="Sheet10" sheetId="10" r:id="rId10"/>
  </sheets>
  <definedNames>
    <definedName name="_xlnm._FilterDatabase" localSheetId="6" hidden="1">'VISIBLE CELLS'!$A$1:$F$13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8" l="1"/>
  <c r="C9" i="8"/>
  <c r="C8" i="8"/>
  <c r="C7" i="8"/>
  <c r="C6" i="8"/>
  <c r="C4" i="8"/>
  <c r="C3" i="8"/>
  <c r="C2" i="8"/>
  <c r="C5" i="8" s="1"/>
  <c r="C1" i="8"/>
  <c r="F14" i="7"/>
  <c r="F10" i="7"/>
  <c r="F6" i="7"/>
  <c r="F15" i="7" s="1"/>
  <c r="C4" i="10"/>
  <c r="F4" i="10" s="1"/>
  <c r="F9" i="9"/>
  <c r="F11" i="9"/>
  <c r="F10" i="9"/>
  <c r="F8" i="9"/>
  <c r="F7" i="9"/>
  <c r="F6" i="9"/>
  <c r="F4" i="9"/>
  <c r="F3" i="9"/>
  <c r="F2" i="9"/>
  <c r="F8" i="7"/>
  <c r="F13" i="7"/>
  <c r="F7" i="7"/>
  <c r="F12" i="7"/>
  <c r="F3" i="7"/>
  <c r="F11" i="7"/>
  <c r="F2" i="7"/>
  <c r="F4" i="7"/>
  <c r="F9" i="7"/>
  <c r="H8" i="4"/>
  <c r="I9" i="4"/>
  <c r="H9" i="4"/>
  <c r="G9" i="4"/>
  <c r="F9" i="4"/>
  <c r="I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I2" i="4"/>
  <c r="H2" i="4"/>
  <c r="G2" i="4"/>
  <c r="F2" i="4"/>
  <c r="A3" i="2"/>
  <c r="G4" i="1"/>
  <c r="G3" i="1"/>
  <c r="G5" i="1"/>
  <c r="G6" i="1"/>
  <c r="G7" i="1"/>
  <c r="G8" i="1"/>
  <c r="G9" i="1"/>
  <c r="G10" i="1"/>
  <c r="G11" i="1"/>
  <c r="G2" i="1"/>
  <c r="F3" i="1"/>
  <c r="F4" i="1"/>
  <c r="F5" i="1"/>
  <c r="F7" i="1"/>
  <c r="F8" i="1"/>
  <c r="F9" i="1"/>
  <c r="F10" i="1"/>
  <c r="F11" i="1"/>
  <c r="F2" i="1"/>
</calcChain>
</file>

<file path=xl/comments1.xml><?xml version="1.0" encoding="utf-8"?>
<comments xmlns="http://schemas.openxmlformats.org/spreadsheetml/2006/main">
  <authors>
    <author>kushal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 xml:space="preserve">Best Performance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Best Performance</t>
        </r>
      </text>
    </comment>
    <comment ref="B9" authorId="0" shapeId="0">
      <text>
        <r>
          <rPr>
            <sz val="9"/>
            <color indexed="81"/>
            <rFont val="Tahoma"/>
            <family val="2"/>
          </rPr>
          <t xml:space="preserve">DFSDFSFSDFDS
</t>
        </r>
      </text>
    </comment>
  </commentList>
</comments>
</file>

<file path=xl/comments2.xml><?xml version="1.0" encoding="utf-8"?>
<comments xmlns="http://schemas.openxmlformats.org/spreadsheetml/2006/main">
  <authors>
    <author>kushal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 xml:space="preserve">Best Performance
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Best Performance</t>
        </r>
      </text>
    </comment>
  </commentList>
</comments>
</file>

<file path=xl/sharedStrings.xml><?xml version="1.0" encoding="utf-8"?>
<sst xmlns="http://schemas.openxmlformats.org/spreadsheetml/2006/main" count="189" uniqueCount="52">
  <si>
    <t>S. No.</t>
  </si>
  <si>
    <t>Name</t>
  </si>
  <si>
    <t>Employee Code</t>
  </si>
  <si>
    <t>Designation</t>
  </si>
  <si>
    <t>Salary</t>
  </si>
  <si>
    <t>Arun</t>
  </si>
  <si>
    <t>TCS 1</t>
  </si>
  <si>
    <t>MIS Executive</t>
  </si>
  <si>
    <t>Tarun</t>
  </si>
  <si>
    <t>TCS 2</t>
  </si>
  <si>
    <t>Consultant</t>
  </si>
  <si>
    <t>Varun</t>
  </si>
  <si>
    <t>TCS 3</t>
  </si>
  <si>
    <t>Accounts Executive</t>
  </si>
  <si>
    <t>Vikas</t>
  </si>
  <si>
    <t>TCS 4</t>
  </si>
  <si>
    <t>Amit</t>
  </si>
  <si>
    <t>TCS 5</t>
  </si>
  <si>
    <t>Lalit</t>
  </si>
  <si>
    <t>TCS 6</t>
  </si>
  <si>
    <t>Raju</t>
  </si>
  <si>
    <t>TCS 7</t>
  </si>
  <si>
    <t>Vaibhav</t>
  </si>
  <si>
    <t>TCS 8</t>
  </si>
  <si>
    <t>Kashish</t>
  </si>
  <si>
    <t>TCS 9</t>
  </si>
  <si>
    <t>Sagar</t>
  </si>
  <si>
    <t>TCS 10</t>
  </si>
  <si>
    <t>Manager</t>
  </si>
  <si>
    <t>BONUS</t>
  </si>
  <si>
    <t>INCREMENT</t>
  </si>
  <si>
    <t>CAPS</t>
  </si>
  <si>
    <t>SMALL</t>
  </si>
  <si>
    <t>TABLE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</si>
  <si>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</si>
  <si>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</si>
  <si>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</si>
  <si>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</si>
  <si>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</si>
  <si>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</si>
  <si>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</si>
  <si>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</si>
  <si>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</si>
  <si>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</si>
  <si>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</si>
  <si>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</si>
  <si>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RATE</t>
  </si>
  <si>
    <t>ABC</t>
  </si>
  <si>
    <t>Grand Total</t>
  </si>
  <si>
    <t>Consultant Total</t>
  </si>
  <si>
    <t>Manager Total</t>
  </si>
  <si>
    <t>MIS Executive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</si>
</sst>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4" fillId="0" borderId="1" xfId="1" applyFont="1" applyBorder="1"/>
    <xf numFmtId="0" fontId="3" fillId="2" borderId="2" xfId="0" applyFont="1" applyFill="1" applyBorder="1"/>
    <xf numFmtId="164" fontId="3" fillId="2" borderId="3" xfId="1" applyFont="1" applyFill="1" applyBorder="1"/>
    <xf numFmtId="164" fontId="0" fillId="0" borderId="1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/>
    <xf numFmtId="164" fontId="4" fillId="0" borderId="0" xfId="1" applyFont="1" applyBorder="1"/>
    <xf numFmtId="164" fontId="0" fillId="0" borderId="0" xfId="0" applyNumberFormat="1" applyBorder="1"/>
    <xf numFmtId="0" fontId="2" fillId="0" borderId="1" xfId="0" applyFont="1" applyBorder="1"/>
    <xf numFmtId="0" fontId="2" fillId="0" borderId="0" xfId="0" applyFont="1" applyBorder="1"/>
    <xf numFmtId="0" fontId="7" fillId="0" borderId="1" xfId="0" applyFont="1" applyBorder="1"/>
    <xf numFmtId="0" fontId="0" fillId="3" borderId="0" xfId="0" applyFill="1"/>
    <xf numFmtId="0" fontId="0" fillId="4" borderId="0" xfId="0" applyFill="1"/>
  </cellXfs>
  <cellStyles count="2">
    <cellStyle name="Comma" xfId="1" builtinId="3"/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278780</xdr:colOff>
      <xdr:row>5</xdr:row>
      <xdr:rowOff>29737</xdr:rowOff>
    </xdr:from>
    <xdr:to>
      <xdr:col>2</xdr:col>
      <xdr:colOff>442332</xdr:colOff>
      <xdr:row>6</xdr:row>
      <xdr:rowOff>156116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959140-AE2C-4117-BD3A-A804FEC55748}"/>
            </a:ext>
          </a:extLst>
        </xdr:cNvPr>
        <xdr:cNvSpPr/>
      </xdr:nvSpPr>
      <xdr:spPr>
        <a:xfrm>
          <a:off x="278780" y="940420"/>
          <a:ext cx="1382752" cy="3085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LEARN</a:t>
          </a:r>
          <a:r>
            <a:rPr lang="en-IN" sz="1100" baseline="0"/>
            <a:t> MORE</a:t>
          </a:r>
          <a:endParaRPr lang="en-IN" sz="1100"/>
        </a:p>
      </xdr:txBody>
    </xdr:sp>
    <xdr:clientData/>
  </xdr:twoCellAnchor>
  <xdr:twoCellAnchor editAs="oneCell">
    <xdr:from>
      <xdr:col>3</xdr:col>
      <xdr:colOff>602167</xdr:colOff>
      <xdr:row>2</xdr:row>
      <xdr:rowOff>156116</xdr:rowOff>
    </xdr:from>
    <xdr:to>
      <xdr:col>6</xdr:col>
      <xdr:colOff>119075</xdr:colOff>
      <xdr:row>10</xdr:row>
      <xdr:rowOff>44731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50AD9B-166F-489E-8D54-39B4480D4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967" y="520389"/>
          <a:ext cx="1345708" cy="1345708"/>
        </a:xfrm>
        <a:prstGeom prst="rect">
          <a:avLst/>
        </a:prstGeom>
      </xdr:spPr>
    </xdr:pic>
    <xdr:clientData/>
  </xdr:twoCellAnchor>
  <xdr:twoCellAnchor>
    <xdr:from>
      <xdr:col>7</xdr:col>
      <xdr:colOff>170986</xdr:colOff>
      <xdr:row>5</xdr:row>
      <xdr:rowOff>33454</xdr:rowOff>
    </xdr:from>
    <xdr:to>
      <xdr:col>10</xdr:col>
      <xdr:colOff>353121</xdr:colOff>
      <xdr:row>7</xdr:row>
      <xdr:rowOff>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82FE701-240C-49FD-8667-FA7FD66E5D5E}"/>
            </a:ext>
          </a:extLst>
        </xdr:cNvPr>
        <xdr:cNvSpPr/>
      </xdr:nvSpPr>
      <xdr:spPr>
        <a:xfrm>
          <a:off x="4438186" y="944137"/>
          <a:ext cx="2010935" cy="33082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bg1"/>
              </a:solidFill>
            </a:rPr>
            <a:t>YAR</a:t>
          </a:r>
          <a:r>
            <a:rPr lang="en-IN" sz="1100" baseline="0">
              <a:solidFill>
                <a:schemeClr val="bg1"/>
              </a:solidFill>
            </a:rPr>
            <a:t> LIKE TO KIJIYE IS VIDEO KO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11"/>
  <sheetViews>
    <sheetView tabSelected="1" zoomScale="117" zoomScaleNormal="190" workbookViewId="0">
      <selection activeCell="I1" sqref="I1"/>
    </sheetView>
  </sheetViews>
  <sheetFormatPr defaultRowHeight="14.4" x14ac:dyDescent="0.3"/>
  <cols>
    <col min="2" max="2" width="9.6640625" customWidth="1"/>
    <col min="3" max="3" width="13.88671875" bestFit="1" customWidth="1"/>
    <col min="4" max="4" width="16.88671875" bestFit="1" customWidth="1"/>
    <col min="5" max="5" width="10.88671875" customWidth="1"/>
    <col min="6" max="6" width="10.6640625" customWidth="1"/>
    <col min="7" max="8" width="12.33203125" bestFit="1" customWidth="1"/>
    <col min="12" max="12" width="8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1" t="s">
        <v>30</v>
      </c>
    </row>
    <row r="2" spans="1:9" x14ac:dyDescent="0.3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  <c r="G2" s="3" t="b">
        <f>AND(D2="MIS EXECUTIVE")</f>
        <v>1</v>
      </c>
      <c r="H2" s="9"/>
      <c r="I2" s="9"/>
    </row>
    <row r="3" spans="1:9" x14ac:dyDescent="0.3">
      <c r="A3" s="2">
        <v>2</v>
      </c>
      <c r="B3" s="3" t="s">
        <v>8</v>
      </c>
      <c r="C3" s="3" t="s">
        <v>9</v>
      </c>
      <c r="D3" s="3" t="s">
        <v>10</v>
      </c>
      <c r="E3" s="4">
        <v>15000</v>
      </c>
      <c r="F3" s="7">
        <f t="shared" ref="F3:F11" si="0">E3*20%</f>
        <v>3000</v>
      </c>
      <c r="G3" s="3" t="b">
        <f t="shared" ref="G3:G11" si="1">AND(D3="MIS EXECUTIVE")</f>
        <v>0</v>
      </c>
      <c r="H3" s="9"/>
      <c r="I3" s="9"/>
    </row>
    <row r="4" spans="1:9" x14ac:dyDescent="0.3">
      <c r="A4" s="2">
        <v>3</v>
      </c>
      <c r="B4" s="14" t="s">
        <v>11</v>
      </c>
      <c r="C4" s="3" t="s">
        <v>12</v>
      </c>
      <c r="D4" s="3" t="s">
        <v>13</v>
      </c>
      <c r="E4" s="4">
        <v>12000</v>
      </c>
      <c r="F4" s="7">
        <f t="shared" si="0"/>
        <v>2400</v>
      </c>
      <c r="G4" s="3" t="b">
        <f t="shared" si="1"/>
        <v>0</v>
      </c>
      <c r="H4" s="9"/>
      <c r="I4" s="9"/>
    </row>
    <row r="5" spans="1:9" x14ac:dyDescent="0.3">
      <c r="A5" s="2">
        <v>4</v>
      </c>
      <c r="B5" s="3" t="s">
        <v>14</v>
      </c>
      <c r="C5" s="3" t="s">
        <v>15</v>
      </c>
      <c r="D5" s="3" t="s">
        <v>7</v>
      </c>
      <c r="E5" s="4">
        <v>12000</v>
      </c>
      <c r="F5" s="7">
        <f t="shared" si="0"/>
        <v>2400</v>
      </c>
      <c r="G5" s="3" t="b">
        <f t="shared" si="1"/>
        <v>1</v>
      </c>
      <c r="H5" s="9"/>
      <c r="I5" s="9"/>
    </row>
    <row r="6" spans="1:9" x14ac:dyDescent="0.3">
      <c r="A6" s="2">
        <v>5</v>
      </c>
      <c r="B6" s="3" t="s">
        <v>16</v>
      </c>
      <c r="C6" s="3" t="s">
        <v>17</v>
      </c>
      <c r="D6" s="3" t="s">
        <v>10</v>
      </c>
      <c r="E6" s="4">
        <v>15000</v>
      </c>
      <c r="F6" s="7">
        <v>3000</v>
      </c>
      <c r="G6" s="3" t="b">
        <f t="shared" si="1"/>
        <v>0</v>
      </c>
      <c r="H6" s="9"/>
      <c r="I6" s="9"/>
    </row>
    <row r="7" spans="1:9" x14ac:dyDescent="0.3">
      <c r="A7" s="2">
        <v>6</v>
      </c>
      <c r="B7" s="14" t="s">
        <v>18</v>
      </c>
      <c r="C7" s="3" t="s">
        <v>19</v>
      </c>
      <c r="D7" s="3" t="s">
        <v>13</v>
      </c>
      <c r="E7" s="4">
        <v>12000</v>
      </c>
      <c r="F7" s="7">
        <f t="shared" si="0"/>
        <v>2400</v>
      </c>
      <c r="G7" s="3" t="b">
        <f t="shared" si="1"/>
        <v>0</v>
      </c>
      <c r="H7" s="9"/>
      <c r="I7" s="9"/>
    </row>
    <row r="8" spans="1:9" x14ac:dyDescent="0.3">
      <c r="A8" s="2">
        <v>7</v>
      </c>
      <c r="B8" s="3" t="s">
        <v>20</v>
      </c>
      <c r="C8" s="3" t="s">
        <v>21</v>
      </c>
      <c r="D8" s="3" t="s">
        <v>7</v>
      </c>
      <c r="E8" s="4">
        <v>12000</v>
      </c>
      <c r="F8" s="7">
        <f t="shared" si="0"/>
        <v>2400</v>
      </c>
      <c r="G8" s="3" t="b">
        <f t="shared" si="1"/>
        <v>1</v>
      </c>
      <c r="H8" s="9"/>
      <c r="I8" s="9"/>
    </row>
    <row r="9" spans="1:9" x14ac:dyDescent="0.3">
      <c r="A9" s="2">
        <v>8</v>
      </c>
      <c r="B9" s="14" t="s">
        <v>22</v>
      </c>
      <c r="C9" s="3" t="s">
        <v>23</v>
      </c>
      <c r="D9" s="3" t="s">
        <v>10</v>
      </c>
      <c r="E9" s="4">
        <v>15000</v>
      </c>
      <c r="F9" s="7">
        <f t="shared" si="0"/>
        <v>3000</v>
      </c>
      <c r="G9" s="3" t="b">
        <f t="shared" si="1"/>
        <v>0</v>
      </c>
      <c r="H9" s="9"/>
      <c r="I9" s="9"/>
    </row>
    <row r="10" spans="1:9" x14ac:dyDescent="0.3">
      <c r="A10" s="2">
        <v>9</v>
      </c>
      <c r="B10" s="3" t="s">
        <v>24</v>
      </c>
      <c r="C10" s="3" t="s">
        <v>25</v>
      </c>
      <c r="D10" s="3" t="s">
        <v>28</v>
      </c>
      <c r="E10" s="4">
        <v>12000</v>
      </c>
      <c r="F10" s="7">
        <f t="shared" si="0"/>
        <v>2400</v>
      </c>
      <c r="G10" s="3" t="b">
        <f t="shared" si="1"/>
        <v>0</v>
      </c>
      <c r="H10" s="9"/>
      <c r="I10" s="9"/>
    </row>
    <row r="11" spans="1:9" x14ac:dyDescent="0.3">
      <c r="A11" s="2">
        <v>10</v>
      </c>
      <c r="B11" s="3" t="s">
        <v>26</v>
      </c>
      <c r="C11" s="3" t="s">
        <v>27</v>
      </c>
      <c r="D11" s="3" t="s">
        <v>28</v>
      </c>
      <c r="E11" s="4">
        <v>75000</v>
      </c>
      <c r="F11" s="7">
        <f t="shared" si="0"/>
        <v>15000</v>
      </c>
      <c r="G11" s="3" t="b">
        <f t="shared" si="1"/>
        <v>0</v>
      </c>
      <c r="H11" s="9"/>
      <c r="I11" s="9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I9"/>
  <sheetViews>
    <sheetView zoomScale="145" zoomScaleNormal="145" workbookViewId="0">
      <selection activeCell="F9" sqref="F9"/>
    </sheetView>
  </sheetViews>
  <sheetFormatPr defaultRowHeight="14.4" x14ac:dyDescent="0.3"/>
  <cols>
    <col min="6" max="6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x14ac:dyDescent="0.3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x14ac:dyDescent="0.3">
      <c r="A3" s="2">
        <v>2</v>
      </c>
      <c r="B3" s="3" t="s">
        <v>8</v>
      </c>
      <c r="C3" s="3" t="s">
        <v>9</v>
      </c>
      <c r="D3" s="3" t="s">
        <v>10</v>
      </c>
      <c r="E3" s="4">
        <v>15000</v>
      </c>
      <c r="F3" s="7">
        <f t="shared" ref="F3:F9" si="0">E3*20%</f>
        <v>3000</v>
      </c>
      <c r="G3" s="3" t="b">
        <f t="shared" ref="G3:G9" si="1">AND(D3="MIS EXECUTIVE")</f>
        <v>0</v>
      </c>
      <c r="H3" s="3" t="str">
        <f t="shared" ref="H3:H8" si="2">UPPER(B3)</f>
        <v>TARUN</v>
      </c>
      <c r="I3" t="e">
        <f t="shared" ref="I3:I9" si="3">LOWER(D3:E3)</f>
        <v>#VALUE!</v>
      </c>
    </row>
    <row r="4" spans="1:9" x14ac:dyDescent="0.3">
      <c r="A4" s="2">
        <v>3</v>
      </c>
      <c r="B4" s="3" t="s">
        <v>11</v>
      </c>
      <c r="C4" s="3" t="s">
        <v>12</v>
      </c>
      <c r="D4" s="3" t="s">
        <v>13</v>
      </c>
      <c r="E4" s="4">
        <v>12000</v>
      </c>
      <c r="F4" s="7">
        <f t="shared" si="0"/>
        <v>2400</v>
      </c>
      <c r="G4" s="3" t="b">
        <f t="shared" si="1"/>
        <v>0</v>
      </c>
      <c r="H4" s="3" t="str">
        <f t="shared" si="2"/>
        <v>VARUN</v>
      </c>
      <c r="I4" t="e">
        <f t="shared" si="3"/>
        <v>#VALUE!</v>
      </c>
    </row>
    <row r="5" spans="1:9" x14ac:dyDescent="0.3">
      <c r="A5" s="2">
        <v>4</v>
      </c>
      <c r="B5" s="3" t="s">
        <v>14</v>
      </c>
      <c r="C5" s="3" t="s">
        <v>15</v>
      </c>
      <c r="D5" s="3" t="s">
        <v>7</v>
      </c>
      <c r="E5" s="4">
        <v>12000</v>
      </c>
      <c r="F5" s="7">
        <f t="shared" si="0"/>
        <v>2400</v>
      </c>
      <c r="G5" s="3" t="b">
        <f t="shared" si="1"/>
        <v>1</v>
      </c>
      <c r="H5" s="3" t="str">
        <f t="shared" si="2"/>
        <v>VIKAS</v>
      </c>
      <c r="I5" t="e">
        <f t="shared" si="3"/>
        <v>#VALUE!</v>
      </c>
    </row>
    <row r="6" spans="1:9" x14ac:dyDescent="0.3">
      <c r="A6" s="2">
        <v>6</v>
      </c>
      <c r="B6" s="3" t="s">
        <v>18</v>
      </c>
      <c r="C6" s="3" t="s">
        <v>19</v>
      </c>
      <c r="D6" s="3" t="s">
        <v>13</v>
      </c>
      <c r="E6" s="4">
        <v>12000</v>
      </c>
      <c r="F6" s="7">
        <f t="shared" si="0"/>
        <v>2400</v>
      </c>
      <c r="G6" s="3" t="b">
        <f t="shared" si="1"/>
        <v>0</v>
      </c>
      <c r="H6" s="3" t="str">
        <f t="shared" si="2"/>
        <v>LALIT</v>
      </c>
      <c r="I6" t="e">
        <f t="shared" si="3"/>
        <v>#VALUE!</v>
      </c>
    </row>
    <row r="7" spans="1:9" x14ac:dyDescent="0.3">
      <c r="A7" s="2">
        <v>7</v>
      </c>
      <c r="B7" s="3" t="s">
        <v>20</v>
      </c>
      <c r="C7" s="3" t="s">
        <v>21</v>
      </c>
      <c r="D7" s="3" t="s">
        <v>7</v>
      </c>
      <c r="E7" s="4">
        <v>12000</v>
      </c>
      <c r="F7" s="7">
        <f t="shared" si="0"/>
        <v>2400</v>
      </c>
      <c r="G7" s="3" t="b">
        <f t="shared" si="1"/>
        <v>1</v>
      </c>
      <c r="H7" s="3" t="str">
        <f t="shared" si="2"/>
        <v>RAJU</v>
      </c>
      <c r="I7" t="e">
        <f t="shared" si="3"/>
        <v>#VALUE!</v>
      </c>
    </row>
    <row r="8" spans="1:9" x14ac:dyDescent="0.3">
      <c r="A8" s="2">
        <v>8</v>
      </c>
      <c r="B8" s="3" t="s">
        <v>22</v>
      </c>
      <c r="C8" s="3" t="s">
        <v>23</v>
      </c>
      <c r="D8" s="3" t="s">
        <v>10</v>
      </c>
      <c r="E8" s="4">
        <v>15000</v>
      </c>
      <c r="F8" s="7">
        <f t="shared" si="0"/>
        <v>3000</v>
      </c>
      <c r="G8" s="3" t="b">
        <f t="shared" si="1"/>
        <v>0</v>
      </c>
      <c r="H8" s="3" t="str">
        <f t="shared" si="2"/>
        <v>VAIBHAV</v>
      </c>
      <c r="I8" t="e">
        <f t="shared" si="3"/>
        <v>#VALUE!</v>
      </c>
    </row>
    <row r="9" spans="1:9" x14ac:dyDescent="0.3">
      <c r="A9" s="2">
        <v>10</v>
      </c>
      <c r="B9" s="3" t="s">
        <v>26</v>
      </c>
      <c r="C9" s="3" t="s">
        <v>27</v>
      </c>
      <c r="D9" s="3" t="s">
        <v>28</v>
      </c>
      <c r="E9" s="4">
        <v>75000</v>
      </c>
      <c r="F9" s="7">
        <f t="shared" si="0"/>
        <v>15000</v>
      </c>
      <c r="G9" s="3" t="b">
        <f t="shared" si="1"/>
        <v>0</v>
      </c>
      <c r="H9" s="3" t="str">
        <f>UPPER(B9)</f>
        <v>SAGAR</v>
      </c>
      <c r="I9" t="e">
        <f t="shared" si="3"/>
        <v>#VALUE!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3"/>
  <sheetViews>
    <sheetView zoomScale="205" zoomScaleNormal="205" workbookViewId="0">
      <selection activeCell="C7" sqref="C7"/>
    </sheetView>
  </sheetViews>
  <sheetFormatPr defaultRowHeight="14.4" x14ac:dyDescent="0.3"/>
  <sheetData>
    <row r="1" spans="1:8" x14ac:dyDescent="0.3">
      <c r="A1" t="s">
        <v>33</v>
      </c>
      <c r="B1">
        <v>10</v>
      </c>
    </row>
    <row r="2" spans="1:8" x14ac:dyDescent="0.3">
      <c r="B2">
        <v>1</v>
      </c>
    </row>
    <row r="3" spans="1:8" x14ac:dyDescent="0.3">
      <c r="A3">
        <f>B1*B2</f>
        <v>10</v>
      </c>
      <c r="B3">
        <v>10</v>
      </c>
      <c r="C3">
        <v>20</v>
      </c>
      <c r="D3">
        <v>30</v>
      </c>
      <c r="E3">
        <v>40</v>
      </c>
      <c r="F3">
        <v>50</v>
      </c>
      <c r="G3">
        <v>60</v>
      </c>
      <c r="H3">
        <v>70</v>
      </c>
    </row>
    <row r="4" spans="1:8" x14ac:dyDescent="0.3">
      <c r="A4">
        <v>1</v>
      </c>
      <c r="B4">
        <f t="dataTable" ref="B4:H13" dt2D="1" dtr="1" r1="B1" r2="B2"/>
        <v>10</v>
      </c>
      <c r="C4">
        <v>20</v>
      </c>
      <c r="D4">
        <v>30</v>
      </c>
      <c r="E4">
        <v>40</v>
      </c>
      <c r="F4">
        <v>50</v>
      </c>
      <c r="G4">
        <v>60</v>
      </c>
      <c r="H4">
        <v>70</v>
      </c>
    </row>
    <row r="5" spans="1:8" x14ac:dyDescent="0.3">
      <c r="A5">
        <v>2</v>
      </c>
      <c r="B5">
        <v>20</v>
      </c>
      <c r="C5">
        <v>40</v>
      </c>
      <c r="D5">
        <v>60</v>
      </c>
      <c r="E5">
        <v>80</v>
      </c>
      <c r="F5">
        <v>100</v>
      </c>
      <c r="G5">
        <v>120</v>
      </c>
      <c r="H5">
        <v>140</v>
      </c>
    </row>
    <row r="6" spans="1:8" x14ac:dyDescent="0.3">
      <c r="A6">
        <v>3</v>
      </c>
      <c r="B6">
        <v>30</v>
      </c>
      <c r="C6">
        <v>60</v>
      </c>
      <c r="D6">
        <v>90</v>
      </c>
      <c r="E6">
        <v>120</v>
      </c>
      <c r="F6">
        <v>150</v>
      </c>
      <c r="G6">
        <v>180</v>
      </c>
      <c r="H6">
        <v>210</v>
      </c>
    </row>
    <row r="7" spans="1:8" x14ac:dyDescent="0.3">
      <c r="A7">
        <v>4</v>
      </c>
      <c r="B7">
        <v>40</v>
      </c>
      <c r="C7">
        <v>80</v>
      </c>
      <c r="D7">
        <v>120</v>
      </c>
      <c r="E7">
        <v>160</v>
      </c>
      <c r="F7">
        <v>200</v>
      </c>
      <c r="G7">
        <v>240</v>
      </c>
      <c r="H7">
        <v>280</v>
      </c>
    </row>
    <row r="8" spans="1:8" x14ac:dyDescent="0.3">
      <c r="A8">
        <v>5</v>
      </c>
      <c r="B8">
        <v>50</v>
      </c>
      <c r="C8">
        <v>100</v>
      </c>
      <c r="D8">
        <v>150</v>
      </c>
      <c r="E8">
        <v>200</v>
      </c>
      <c r="F8">
        <v>250</v>
      </c>
      <c r="G8">
        <v>300</v>
      </c>
      <c r="H8">
        <v>350</v>
      </c>
    </row>
    <row r="9" spans="1:8" x14ac:dyDescent="0.3">
      <c r="A9">
        <v>6</v>
      </c>
      <c r="B9">
        <v>60</v>
      </c>
      <c r="C9">
        <v>120</v>
      </c>
      <c r="D9">
        <v>180</v>
      </c>
      <c r="E9">
        <v>240</v>
      </c>
      <c r="F9">
        <v>300</v>
      </c>
      <c r="G9">
        <v>360</v>
      </c>
      <c r="H9">
        <v>420</v>
      </c>
    </row>
    <row r="10" spans="1:8" x14ac:dyDescent="0.3">
      <c r="A10">
        <v>7</v>
      </c>
      <c r="B10">
        <v>70</v>
      </c>
      <c r="C10">
        <v>140</v>
      </c>
      <c r="D10">
        <v>210</v>
      </c>
      <c r="E10">
        <v>280</v>
      </c>
      <c r="F10">
        <v>350</v>
      </c>
      <c r="G10">
        <v>420</v>
      </c>
      <c r="H10">
        <v>490</v>
      </c>
    </row>
    <row r="11" spans="1:8" x14ac:dyDescent="0.3">
      <c r="A11">
        <v>8</v>
      </c>
      <c r="B11">
        <v>80</v>
      </c>
      <c r="C11">
        <v>160</v>
      </c>
      <c r="D11">
        <v>240</v>
      </c>
      <c r="E11">
        <v>320</v>
      </c>
      <c r="F11">
        <v>400</v>
      </c>
      <c r="G11">
        <v>480</v>
      </c>
      <c r="H11">
        <v>560</v>
      </c>
    </row>
    <row r="12" spans="1:8" x14ac:dyDescent="0.3">
      <c r="A12">
        <v>9</v>
      </c>
      <c r="B12">
        <v>90</v>
      </c>
      <c r="C12">
        <v>180</v>
      </c>
      <c r="D12">
        <v>270</v>
      </c>
      <c r="E12">
        <v>360</v>
      </c>
      <c r="F12">
        <v>450</v>
      </c>
      <c r="G12">
        <v>540</v>
      </c>
      <c r="H12">
        <v>630</v>
      </c>
    </row>
    <row r="13" spans="1:8" x14ac:dyDescent="0.3">
      <c r="A13">
        <v>10</v>
      </c>
      <c r="B13">
        <v>100</v>
      </c>
      <c r="C13">
        <v>200</v>
      </c>
      <c r="D13">
        <v>300</v>
      </c>
      <c r="E13">
        <v>400</v>
      </c>
      <c r="F13">
        <v>500</v>
      </c>
      <c r="G13">
        <v>600</v>
      </c>
      <c r="H13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="205" zoomScaleNormal="205" workbookViewId="0">
      <selection activeCell="G4" sqref="G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6"/>
  <sheetViews>
    <sheetView zoomScale="175" zoomScaleNormal="175" workbookViewId="0">
      <selection activeCell="A4" sqref="A4:XFD4"/>
    </sheetView>
  </sheetViews>
  <sheetFormatPr defaultRowHeight="14.4" x14ac:dyDescent="0.3"/>
  <sheetData>
    <row r="1" spans="1:12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3">
      <c r="A2">
        <v>45</v>
      </c>
      <c r="B2">
        <v>45</v>
      </c>
      <c r="C2">
        <v>45</v>
      </c>
      <c r="D2">
        <v>45</v>
      </c>
      <c r="E2">
        <v>45</v>
      </c>
      <c r="F2">
        <v>45</v>
      </c>
      <c r="G2">
        <v>45</v>
      </c>
      <c r="H2">
        <v>45</v>
      </c>
      <c r="I2">
        <v>45</v>
      </c>
      <c r="J2">
        <v>45</v>
      </c>
      <c r="K2">
        <v>45</v>
      </c>
      <c r="L2">
        <v>45</v>
      </c>
    </row>
    <row r="3" spans="1:12" x14ac:dyDescent="0.3">
      <c r="A3">
        <v>95</v>
      </c>
      <c r="B3">
        <v>95</v>
      </c>
      <c r="C3">
        <v>95</v>
      </c>
      <c r="D3">
        <v>95</v>
      </c>
      <c r="E3">
        <v>95</v>
      </c>
      <c r="F3">
        <v>95</v>
      </c>
      <c r="G3">
        <v>95</v>
      </c>
      <c r="H3">
        <v>95</v>
      </c>
      <c r="I3">
        <v>95</v>
      </c>
      <c r="J3">
        <v>95</v>
      </c>
      <c r="K3">
        <v>95</v>
      </c>
      <c r="L3">
        <v>95</v>
      </c>
    </row>
    <row r="4" spans="1:12" x14ac:dyDescent="0.3">
      <c r="A4">
        <v>68</v>
      </c>
      <c r="B4">
        <v>68</v>
      </c>
      <c r="C4">
        <v>68</v>
      </c>
      <c r="D4">
        <v>68</v>
      </c>
      <c r="E4" s="15">
        <v>65</v>
      </c>
      <c r="F4">
        <v>68</v>
      </c>
      <c r="G4">
        <v>68</v>
      </c>
      <c r="H4">
        <v>68</v>
      </c>
      <c r="I4" s="15">
        <v>67</v>
      </c>
      <c r="J4">
        <v>68</v>
      </c>
      <c r="K4">
        <v>68</v>
      </c>
      <c r="L4">
        <v>68</v>
      </c>
    </row>
    <row r="5" spans="1:12" x14ac:dyDescent="0.3">
      <c r="A5">
        <v>78</v>
      </c>
      <c r="B5">
        <v>78</v>
      </c>
      <c r="C5">
        <v>78</v>
      </c>
      <c r="D5">
        <v>78</v>
      </c>
      <c r="E5">
        <v>78</v>
      </c>
      <c r="F5">
        <v>78</v>
      </c>
      <c r="G5">
        <v>78</v>
      </c>
      <c r="H5">
        <v>78</v>
      </c>
      <c r="I5">
        <v>78</v>
      </c>
      <c r="J5">
        <v>78</v>
      </c>
      <c r="K5">
        <v>78</v>
      </c>
      <c r="L5">
        <v>78</v>
      </c>
    </row>
    <row r="6" spans="1:12" x14ac:dyDescent="0.3">
      <c r="A6">
        <v>99</v>
      </c>
      <c r="B6">
        <v>99</v>
      </c>
      <c r="C6">
        <v>99</v>
      </c>
      <c r="D6">
        <v>99</v>
      </c>
      <c r="E6">
        <v>99</v>
      </c>
      <c r="F6">
        <v>99</v>
      </c>
      <c r="G6">
        <v>99</v>
      </c>
      <c r="H6" s="15">
        <v>98</v>
      </c>
      <c r="I6">
        <v>99</v>
      </c>
      <c r="J6">
        <v>99</v>
      </c>
      <c r="K6">
        <v>99</v>
      </c>
      <c r="L6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27"/>
  <sheetViews>
    <sheetView zoomScale="160" zoomScaleNormal="160" workbookViewId="0">
      <selection activeCell="G11" sqref="G11"/>
    </sheetView>
  </sheetViews>
  <sheetFormatPr defaultRowHeight="14.4" x14ac:dyDescent="0.3"/>
  <sheetData>
    <row r="1" spans="1:12" x14ac:dyDescent="0.3">
      <c r="A1" t="s">
        <v>46</v>
      </c>
      <c r="B1" t="s">
        <v>46</v>
      </c>
      <c r="C1" t="s">
        <v>46</v>
      </c>
      <c r="D1" t="s">
        <v>46</v>
      </c>
      <c r="E1" t="s">
        <v>46</v>
      </c>
      <c r="F1" t="s">
        <v>46</v>
      </c>
      <c r="G1" t="s">
        <v>46</v>
      </c>
      <c r="H1" t="s">
        <v>46</v>
      </c>
      <c r="I1" t="s">
        <v>46</v>
      </c>
      <c r="J1" t="s">
        <v>46</v>
      </c>
      <c r="K1" t="s">
        <v>46</v>
      </c>
      <c r="L1" t="s">
        <v>46</v>
      </c>
    </row>
    <row r="2" spans="1:12" x14ac:dyDescent="0.3">
      <c r="A2">
        <v>45</v>
      </c>
      <c r="B2">
        <v>95</v>
      </c>
      <c r="C2">
        <v>68</v>
      </c>
      <c r="D2">
        <v>78</v>
      </c>
      <c r="E2">
        <v>99</v>
      </c>
      <c r="F2">
        <v>33</v>
      </c>
      <c r="G2">
        <v>22</v>
      </c>
      <c r="H2">
        <v>11</v>
      </c>
      <c r="I2">
        <v>65</v>
      </c>
      <c r="J2">
        <v>94</v>
      </c>
      <c r="K2">
        <v>91</v>
      </c>
      <c r="L2">
        <v>81</v>
      </c>
    </row>
    <row r="3" spans="1:12" x14ac:dyDescent="0.3">
      <c r="A3">
        <v>45</v>
      </c>
      <c r="B3">
        <v>95</v>
      </c>
      <c r="C3">
        <v>68</v>
      </c>
      <c r="D3">
        <v>78</v>
      </c>
      <c r="E3">
        <v>99</v>
      </c>
      <c r="F3">
        <v>33</v>
      </c>
      <c r="G3">
        <v>22</v>
      </c>
      <c r="H3">
        <v>11</v>
      </c>
      <c r="I3">
        <v>65</v>
      </c>
      <c r="J3">
        <v>94</v>
      </c>
      <c r="K3">
        <v>91</v>
      </c>
      <c r="L3">
        <v>81</v>
      </c>
    </row>
    <row r="4" spans="1:12" x14ac:dyDescent="0.3">
      <c r="A4">
        <v>45</v>
      </c>
      <c r="B4">
        <v>95</v>
      </c>
      <c r="C4">
        <v>68</v>
      </c>
      <c r="D4">
        <v>78</v>
      </c>
      <c r="E4">
        <v>99</v>
      </c>
      <c r="F4">
        <v>33</v>
      </c>
      <c r="G4">
        <v>22</v>
      </c>
      <c r="H4">
        <v>11</v>
      </c>
      <c r="I4">
        <v>65</v>
      </c>
      <c r="J4">
        <v>94</v>
      </c>
      <c r="K4">
        <v>91</v>
      </c>
      <c r="L4">
        <v>81</v>
      </c>
    </row>
    <row r="5" spans="1:12" x14ac:dyDescent="0.3">
      <c r="A5">
        <v>45</v>
      </c>
      <c r="B5">
        <v>95</v>
      </c>
      <c r="C5">
        <v>68</v>
      </c>
      <c r="D5">
        <v>78</v>
      </c>
      <c r="E5">
        <v>99</v>
      </c>
      <c r="F5">
        <v>33</v>
      </c>
      <c r="G5">
        <v>22</v>
      </c>
      <c r="H5">
        <v>11</v>
      </c>
      <c r="I5">
        <v>65</v>
      </c>
      <c r="J5">
        <v>94</v>
      </c>
      <c r="K5">
        <v>91</v>
      </c>
      <c r="L5">
        <v>81</v>
      </c>
    </row>
    <row r="6" spans="1:12" x14ac:dyDescent="0.3">
      <c r="A6">
        <v>45</v>
      </c>
      <c r="B6">
        <v>95</v>
      </c>
      <c r="C6" s="16">
        <v>65</v>
      </c>
      <c r="D6">
        <v>78</v>
      </c>
      <c r="E6">
        <v>99</v>
      </c>
      <c r="F6">
        <v>33</v>
      </c>
      <c r="G6">
        <v>22</v>
      </c>
      <c r="H6">
        <v>11</v>
      </c>
      <c r="I6">
        <v>65</v>
      </c>
      <c r="J6">
        <v>94</v>
      </c>
      <c r="K6">
        <v>91</v>
      </c>
      <c r="L6">
        <v>81</v>
      </c>
    </row>
    <row r="7" spans="1:12" x14ac:dyDescent="0.3">
      <c r="A7">
        <v>45</v>
      </c>
      <c r="B7">
        <v>95</v>
      </c>
      <c r="C7">
        <v>68</v>
      </c>
      <c r="D7">
        <v>78</v>
      </c>
      <c r="E7">
        <v>99</v>
      </c>
      <c r="F7">
        <v>33</v>
      </c>
      <c r="G7">
        <v>22</v>
      </c>
      <c r="H7">
        <v>11</v>
      </c>
      <c r="I7">
        <v>65</v>
      </c>
      <c r="J7">
        <v>94</v>
      </c>
      <c r="K7">
        <v>91</v>
      </c>
      <c r="L7">
        <v>81</v>
      </c>
    </row>
    <row r="8" spans="1:12" x14ac:dyDescent="0.3">
      <c r="A8">
        <v>45</v>
      </c>
      <c r="B8">
        <v>95</v>
      </c>
      <c r="C8">
        <v>68</v>
      </c>
      <c r="D8">
        <v>78</v>
      </c>
      <c r="E8">
        <v>99</v>
      </c>
      <c r="F8">
        <v>33</v>
      </c>
      <c r="G8">
        <v>22</v>
      </c>
      <c r="H8">
        <v>11</v>
      </c>
      <c r="I8">
        <v>65</v>
      </c>
      <c r="J8">
        <v>94</v>
      </c>
      <c r="K8">
        <v>91</v>
      </c>
      <c r="L8">
        <v>81</v>
      </c>
    </row>
    <row r="9" spans="1:12" x14ac:dyDescent="0.3">
      <c r="A9">
        <v>45</v>
      </c>
      <c r="B9">
        <v>95</v>
      </c>
      <c r="C9">
        <v>68</v>
      </c>
      <c r="D9">
        <v>78</v>
      </c>
      <c r="E9" s="16">
        <v>98</v>
      </c>
      <c r="F9" s="16">
        <v>24</v>
      </c>
      <c r="G9">
        <v>22</v>
      </c>
      <c r="H9">
        <v>11</v>
      </c>
      <c r="I9">
        <v>65</v>
      </c>
      <c r="J9">
        <v>94</v>
      </c>
      <c r="K9">
        <v>91</v>
      </c>
      <c r="L9">
        <v>81</v>
      </c>
    </row>
    <row r="10" spans="1:12" x14ac:dyDescent="0.3">
      <c r="A10">
        <v>45</v>
      </c>
      <c r="B10">
        <v>95</v>
      </c>
      <c r="C10" s="16">
        <v>67</v>
      </c>
      <c r="D10">
        <v>78</v>
      </c>
      <c r="E10">
        <v>99</v>
      </c>
      <c r="F10">
        <v>33</v>
      </c>
      <c r="G10">
        <v>22</v>
      </c>
      <c r="H10">
        <v>11</v>
      </c>
      <c r="I10">
        <v>65</v>
      </c>
      <c r="J10">
        <v>94</v>
      </c>
      <c r="K10">
        <v>91</v>
      </c>
      <c r="L10">
        <v>81</v>
      </c>
    </row>
    <row r="11" spans="1:12" x14ac:dyDescent="0.3">
      <c r="A11">
        <v>45</v>
      </c>
      <c r="B11">
        <v>95</v>
      </c>
      <c r="C11">
        <v>68</v>
      </c>
      <c r="D11">
        <v>78</v>
      </c>
      <c r="E11">
        <v>99</v>
      </c>
      <c r="F11">
        <v>33</v>
      </c>
      <c r="G11">
        <v>22</v>
      </c>
      <c r="H11">
        <v>11</v>
      </c>
      <c r="I11">
        <v>65</v>
      </c>
      <c r="J11">
        <v>94</v>
      </c>
      <c r="K11">
        <v>91</v>
      </c>
      <c r="L11">
        <v>81</v>
      </c>
    </row>
    <row r="12" spans="1:12" x14ac:dyDescent="0.3">
      <c r="A12">
        <v>45</v>
      </c>
      <c r="B12">
        <v>95</v>
      </c>
      <c r="C12" s="16">
        <v>64</v>
      </c>
      <c r="D12">
        <v>78</v>
      </c>
      <c r="E12">
        <v>99</v>
      </c>
      <c r="F12">
        <v>33</v>
      </c>
      <c r="G12">
        <v>22</v>
      </c>
      <c r="H12">
        <v>11</v>
      </c>
      <c r="I12">
        <v>65</v>
      </c>
      <c r="J12">
        <v>94</v>
      </c>
      <c r="K12">
        <v>91</v>
      </c>
      <c r="L12">
        <v>81</v>
      </c>
    </row>
    <row r="13" spans="1:12" x14ac:dyDescent="0.3">
      <c r="A13">
        <v>45</v>
      </c>
      <c r="B13">
        <v>95</v>
      </c>
      <c r="C13">
        <v>68</v>
      </c>
      <c r="D13">
        <v>78</v>
      </c>
      <c r="E13">
        <v>99</v>
      </c>
      <c r="F13">
        <v>33</v>
      </c>
      <c r="G13">
        <v>22</v>
      </c>
      <c r="H13">
        <v>11</v>
      </c>
      <c r="I13">
        <v>65</v>
      </c>
      <c r="J13">
        <v>94</v>
      </c>
      <c r="K13">
        <v>91</v>
      </c>
      <c r="L13">
        <v>81</v>
      </c>
    </row>
    <row r="27" spans="12:12" x14ac:dyDescent="0.3">
      <c r="L27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15"/>
  <sheetViews>
    <sheetView zoomScale="175" zoomScaleNormal="175" workbookViewId="0">
      <selection activeCell="E23" sqref="E23"/>
    </sheetView>
  </sheetViews>
  <sheetFormatPr defaultRowHeight="14.4" outlineLevelRow="2" x14ac:dyDescent="0.3"/>
  <cols>
    <col min="1" max="1" width="5.6640625" bestFit="1" customWidth="1"/>
    <col min="2" max="2" width="7.44140625" bestFit="1" customWidth="1"/>
    <col min="3" max="3" width="13.109375" customWidth="1"/>
    <col min="4" max="4" width="16.88671875" bestFit="1" customWidth="1"/>
    <col min="5" max="5" width="9.6640625" bestFit="1" customWidth="1"/>
    <col min="6" max="6" width="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hidden="1" outlineLevel="2" x14ac:dyDescent="0.3">
      <c r="A2" s="2">
        <v>1</v>
      </c>
      <c r="B2" s="3" t="s">
        <v>11</v>
      </c>
      <c r="C2" s="3" t="s">
        <v>12</v>
      </c>
      <c r="D2" s="3" t="s">
        <v>28</v>
      </c>
      <c r="E2" s="4">
        <v>12000</v>
      </c>
      <c r="F2" s="7">
        <f>E2*20%</f>
        <v>2400</v>
      </c>
    </row>
    <row r="3" spans="1:6" hidden="1" outlineLevel="2" x14ac:dyDescent="0.3">
      <c r="A3" s="2">
        <v>2</v>
      </c>
      <c r="B3" s="3" t="s">
        <v>18</v>
      </c>
      <c r="C3" s="3" t="s">
        <v>19</v>
      </c>
      <c r="D3" s="3" t="s">
        <v>28</v>
      </c>
      <c r="E3" s="4">
        <v>12000</v>
      </c>
      <c r="F3" s="7">
        <f>E3*20%</f>
        <v>2400</v>
      </c>
    </row>
    <row r="4" spans="1:6" hidden="1" outlineLevel="2" x14ac:dyDescent="0.3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6" hidden="1" outlineLevel="2" x14ac:dyDescent="0.3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6" outlineLevel="1" collapsed="1" x14ac:dyDescent="0.3">
      <c r="A6" s="2"/>
      <c r="B6" s="3"/>
      <c r="C6" s="3"/>
      <c r="D6" s="12" t="s">
        <v>50</v>
      </c>
      <c r="E6" s="4"/>
      <c r="F6" s="7">
        <f>SUBTOTAL(9,F2:F5)</f>
        <v>10800</v>
      </c>
    </row>
    <row r="7" spans="1:6" hidden="1" outlineLevel="2" x14ac:dyDescent="0.3">
      <c r="A7" s="2">
        <v>5</v>
      </c>
      <c r="B7" s="3" t="s">
        <v>22</v>
      </c>
      <c r="C7" s="3" t="s">
        <v>23</v>
      </c>
      <c r="D7" s="3" t="s">
        <v>10</v>
      </c>
      <c r="E7" s="4">
        <v>15000</v>
      </c>
      <c r="F7" s="7">
        <f>E7*20%</f>
        <v>3000</v>
      </c>
    </row>
    <row r="8" spans="1:6" hidden="1" outlineLevel="2" x14ac:dyDescent="0.3">
      <c r="A8" s="2">
        <v>6</v>
      </c>
      <c r="B8" s="3" t="s">
        <v>26</v>
      </c>
      <c r="C8" s="3" t="s">
        <v>27</v>
      </c>
      <c r="D8" s="3" t="s">
        <v>10</v>
      </c>
      <c r="E8" s="4">
        <v>75000</v>
      </c>
      <c r="F8" s="7">
        <f>E8*20%</f>
        <v>15000</v>
      </c>
    </row>
    <row r="9" spans="1:6" hidden="1" outlineLevel="2" x14ac:dyDescent="0.3">
      <c r="A9" s="2">
        <v>7</v>
      </c>
      <c r="B9" s="3" t="s">
        <v>5</v>
      </c>
      <c r="C9" s="3" t="s">
        <v>6</v>
      </c>
      <c r="D9" s="3" t="s">
        <v>10</v>
      </c>
      <c r="E9" s="4">
        <v>15000</v>
      </c>
      <c r="F9" s="7">
        <f>E9*20%</f>
        <v>3000</v>
      </c>
    </row>
    <row r="10" spans="1:6" outlineLevel="1" collapsed="1" x14ac:dyDescent="0.3">
      <c r="A10" s="2"/>
      <c r="B10" s="3"/>
      <c r="C10" s="3"/>
      <c r="D10" s="12" t="s">
        <v>49</v>
      </c>
      <c r="E10" s="4"/>
      <c r="F10" s="7">
        <f>SUBTOTAL(9,F7:F9)</f>
        <v>21000</v>
      </c>
    </row>
    <row r="11" spans="1:6" hidden="1" outlineLevel="2" x14ac:dyDescent="0.3">
      <c r="A11" s="2">
        <v>8</v>
      </c>
      <c r="B11" s="3" t="s">
        <v>14</v>
      </c>
      <c r="C11" s="3" t="s">
        <v>15</v>
      </c>
      <c r="D11" s="3" t="s">
        <v>7</v>
      </c>
      <c r="E11" s="4">
        <v>12000</v>
      </c>
      <c r="F11" s="7">
        <f>E11*20%</f>
        <v>2400</v>
      </c>
    </row>
    <row r="12" spans="1:6" hidden="1" outlineLevel="2" x14ac:dyDescent="0.3">
      <c r="A12" s="2">
        <v>9</v>
      </c>
      <c r="B12" s="3" t="s">
        <v>20</v>
      </c>
      <c r="C12" s="3" t="s">
        <v>21</v>
      </c>
      <c r="D12" s="3" t="s">
        <v>7</v>
      </c>
      <c r="E12" s="4">
        <v>12000</v>
      </c>
      <c r="F12" s="7">
        <f>E12*20%</f>
        <v>2400</v>
      </c>
    </row>
    <row r="13" spans="1:6" hidden="1" outlineLevel="2" x14ac:dyDescent="0.3">
      <c r="A13" s="2">
        <v>10</v>
      </c>
      <c r="B13" s="3" t="s">
        <v>24</v>
      </c>
      <c r="C13" s="3" t="s">
        <v>25</v>
      </c>
      <c r="D13" s="3" t="s">
        <v>7</v>
      </c>
      <c r="E13" s="4">
        <v>12000</v>
      </c>
      <c r="F13" s="7">
        <f>E13*20%</f>
        <v>2400</v>
      </c>
    </row>
    <row r="14" spans="1:6" outlineLevel="1" collapsed="1" x14ac:dyDescent="0.3">
      <c r="A14" s="8"/>
      <c r="B14" s="9"/>
      <c r="C14" s="9"/>
      <c r="D14" s="13" t="s">
        <v>51</v>
      </c>
      <c r="E14" s="10"/>
      <c r="F14" s="11">
        <f>SUBTOTAL(9,F11:F13)</f>
        <v>7200</v>
      </c>
    </row>
    <row r="15" spans="1:6" x14ac:dyDescent="0.3">
      <c r="A15" s="8"/>
      <c r="B15" s="9"/>
      <c r="C15" s="9"/>
      <c r="D15" s="13" t="s">
        <v>48</v>
      </c>
      <c r="E15" s="10"/>
      <c r="F15" s="11">
        <f>SUBTOTAL(9,F2:F13)</f>
        <v>39000</v>
      </c>
    </row>
  </sheetData>
  <sortState ref="A2:F13">
    <sortCondition ref="D2:D1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10"/>
  <sheetViews>
    <sheetView zoomScale="130" zoomScaleNormal="130" workbookViewId="0">
      <selection activeCell="F1" sqref="F1:H5"/>
    </sheetView>
  </sheetViews>
  <sheetFormatPr defaultRowHeight="14.4" x14ac:dyDescent="0.3"/>
  <cols>
    <col min="1" max="1" width="17.6640625" bestFit="1" customWidth="1"/>
    <col min="2" max="2" width="9.6640625" bestFit="1" customWidth="1"/>
    <col min="3" max="3" width="9.88671875" bestFit="1" customWidth="1"/>
    <col min="8" max="8" width="9.88671875" bestFit="1" customWidth="1"/>
  </cols>
  <sheetData>
    <row r="1" spans="1:8" x14ac:dyDescent="0.3">
      <c r="A1" s="12" t="s">
        <v>50</v>
      </c>
      <c r="B1" s="4"/>
      <c r="C1" s="7" t="e">
        <f>SUBTOTAL(9,#REF!)</f>
        <v>#REF!</v>
      </c>
      <c r="F1" s="1" t="s">
        <v>3</v>
      </c>
      <c r="G1" s="6" t="s">
        <v>4</v>
      </c>
      <c r="H1" s="5" t="s">
        <v>29</v>
      </c>
    </row>
    <row r="2" spans="1:8" x14ac:dyDescent="0.3">
      <c r="A2" s="3" t="s">
        <v>10</v>
      </c>
      <c r="B2" s="4">
        <v>15000</v>
      </c>
      <c r="C2" s="7">
        <f>B2*20%</f>
        <v>3000</v>
      </c>
      <c r="F2" s="12" t="s">
        <v>50</v>
      </c>
      <c r="G2" s="4"/>
      <c r="H2" s="7">
        <v>10800</v>
      </c>
    </row>
    <row r="3" spans="1:8" x14ac:dyDescent="0.3">
      <c r="A3" s="3" t="s">
        <v>10</v>
      </c>
      <c r="B3" s="4">
        <v>75000</v>
      </c>
      <c r="C3" s="7">
        <f>B3*20%</f>
        <v>15000</v>
      </c>
      <c r="F3" s="12" t="s">
        <v>49</v>
      </c>
      <c r="G3" s="4"/>
      <c r="H3" s="7">
        <v>21000</v>
      </c>
    </row>
    <row r="4" spans="1:8" x14ac:dyDescent="0.3">
      <c r="A4" s="3" t="s">
        <v>10</v>
      </c>
      <c r="B4" s="4">
        <v>15000</v>
      </c>
      <c r="C4" s="7">
        <f>B4*20%</f>
        <v>3000</v>
      </c>
      <c r="F4" s="13" t="s">
        <v>51</v>
      </c>
      <c r="G4" s="10"/>
      <c r="H4" s="11">
        <v>7200</v>
      </c>
    </row>
    <row r="5" spans="1:8" x14ac:dyDescent="0.3">
      <c r="A5" s="12" t="s">
        <v>49</v>
      </c>
      <c r="B5" s="4"/>
      <c r="C5" s="7">
        <f>SUBTOTAL(9,C2:C4)</f>
        <v>21000</v>
      </c>
      <c r="F5" s="13" t="s">
        <v>48</v>
      </c>
      <c r="G5" s="10"/>
      <c r="H5" s="11">
        <v>39000</v>
      </c>
    </row>
    <row r="6" spans="1:8" x14ac:dyDescent="0.3">
      <c r="A6" s="3" t="s">
        <v>7</v>
      </c>
      <c r="B6" s="4">
        <v>12000</v>
      </c>
      <c r="C6" s="7">
        <f>B6*20%</f>
        <v>2400</v>
      </c>
    </row>
    <row r="7" spans="1:8" x14ac:dyDescent="0.3">
      <c r="A7" s="3" t="s">
        <v>7</v>
      </c>
      <c r="B7" s="4">
        <v>12000</v>
      </c>
      <c r="C7" s="7">
        <f>B7*20%</f>
        <v>2400</v>
      </c>
    </row>
    <row r="8" spans="1:8" x14ac:dyDescent="0.3">
      <c r="A8" s="3" t="s">
        <v>7</v>
      </c>
      <c r="B8" s="4">
        <v>12000</v>
      </c>
      <c r="C8" s="7">
        <f>B8*20%</f>
        <v>2400</v>
      </c>
    </row>
    <row r="9" spans="1:8" x14ac:dyDescent="0.3">
      <c r="A9" s="13" t="s">
        <v>51</v>
      </c>
      <c r="B9" s="10"/>
      <c r="C9" s="11">
        <f>SUBTOTAL(9,C6:C8)</f>
        <v>7200</v>
      </c>
    </row>
    <row r="10" spans="1:8" x14ac:dyDescent="0.3">
      <c r="A10" s="13" t="s">
        <v>48</v>
      </c>
      <c r="B10" s="10"/>
      <c r="C10" s="11" t="e">
        <f>SUBTOTAL(9,#REF!)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11"/>
  <sheetViews>
    <sheetView zoomScale="160" zoomScaleNormal="160" workbookViewId="0">
      <selection activeCell="J11" sqref="J11"/>
    </sheetView>
  </sheetViews>
  <sheetFormatPr defaultRowHeight="14.4" x14ac:dyDescent="0.3"/>
  <cols>
    <col min="4" max="4" width="12.33203125" bestFit="1" customWidth="1"/>
    <col min="5" max="5" width="9.6640625" bestFit="1" customWidth="1"/>
    <col min="6" max="6" width="10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x14ac:dyDescent="0.3">
      <c r="A2" s="2">
        <v>1</v>
      </c>
      <c r="B2" s="3" t="s">
        <v>11</v>
      </c>
      <c r="C2" s="3" t="s">
        <v>12</v>
      </c>
      <c r="D2" s="3" t="s">
        <v>28</v>
      </c>
      <c r="E2" s="4">
        <v>12000</v>
      </c>
      <c r="F2" s="7">
        <f>E2*20%</f>
        <v>2400</v>
      </c>
    </row>
    <row r="3" spans="1:6" x14ac:dyDescent="0.3">
      <c r="A3" s="2">
        <v>2</v>
      </c>
      <c r="B3" s="3" t="s">
        <v>18</v>
      </c>
      <c r="C3" s="3" t="s">
        <v>19</v>
      </c>
      <c r="D3" s="3" t="s">
        <v>28</v>
      </c>
      <c r="E3" s="4">
        <v>12000</v>
      </c>
      <c r="F3" s="7">
        <f>E3*20%</f>
        <v>2400</v>
      </c>
    </row>
    <row r="4" spans="1:6" x14ac:dyDescent="0.3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6" x14ac:dyDescent="0.3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6" x14ac:dyDescent="0.3">
      <c r="A6" s="2">
        <v>5</v>
      </c>
      <c r="B6" s="3" t="s">
        <v>22</v>
      </c>
      <c r="C6" s="3" t="s">
        <v>23</v>
      </c>
      <c r="D6" s="3" t="s">
        <v>10</v>
      </c>
      <c r="E6" s="4">
        <v>15000</v>
      </c>
      <c r="F6" s="7">
        <f t="shared" ref="F6:F11" si="0">E6*20%</f>
        <v>3000</v>
      </c>
    </row>
    <row r="7" spans="1:6" x14ac:dyDescent="0.3">
      <c r="A7" s="2">
        <v>6</v>
      </c>
      <c r="B7" s="3" t="s">
        <v>26</v>
      </c>
      <c r="C7" s="3" t="s">
        <v>27</v>
      </c>
      <c r="D7" s="3" t="s">
        <v>10</v>
      </c>
      <c r="E7" s="4">
        <v>75000</v>
      </c>
      <c r="F7" s="7">
        <f t="shared" si="0"/>
        <v>15000</v>
      </c>
    </row>
    <row r="8" spans="1:6" x14ac:dyDescent="0.3">
      <c r="A8" s="2">
        <v>7</v>
      </c>
      <c r="B8" s="3" t="s">
        <v>5</v>
      </c>
      <c r="C8" s="3" t="s">
        <v>6</v>
      </c>
      <c r="D8" s="3" t="s">
        <v>10</v>
      </c>
      <c r="E8" s="4">
        <v>15000</v>
      </c>
      <c r="F8" s="7">
        <f t="shared" si="0"/>
        <v>3000</v>
      </c>
    </row>
    <row r="9" spans="1:6" x14ac:dyDescent="0.3">
      <c r="A9" s="2">
        <v>8</v>
      </c>
      <c r="B9" s="3" t="s">
        <v>14</v>
      </c>
      <c r="C9" s="3" t="s">
        <v>15</v>
      </c>
      <c r="D9" s="3" t="s">
        <v>7</v>
      </c>
      <c r="E9" s="4">
        <v>12000</v>
      </c>
      <c r="F9" s="7">
        <f t="shared" si="0"/>
        <v>2400</v>
      </c>
    </row>
    <row r="10" spans="1:6" x14ac:dyDescent="0.3">
      <c r="A10" s="2">
        <v>9</v>
      </c>
      <c r="B10" s="3" t="s">
        <v>20</v>
      </c>
      <c r="C10" s="3" t="s">
        <v>21</v>
      </c>
      <c r="D10" s="3" t="s">
        <v>7</v>
      </c>
      <c r="E10" s="4">
        <v>12000</v>
      </c>
      <c r="F10" s="7">
        <f t="shared" si="0"/>
        <v>2400</v>
      </c>
    </row>
    <row r="11" spans="1:6" x14ac:dyDescent="0.3">
      <c r="A11" s="2">
        <v>10</v>
      </c>
      <c r="B11" s="3" t="s">
        <v>24</v>
      </c>
      <c r="C11" s="3" t="s">
        <v>25</v>
      </c>
      <c r="D11" s="3" t="s">
        <v>7</v>
      </c>
      <c r="E11" s="4">
        <v>12000</v>
      </c>
      <c r="F11" s="7">
        <f t="shared" si="0"/>
        <v>2400</v>
      </c>
    </row>
  </sheetData>
  <conditionalFormatting sqref="D2:D11">
    <cfRule type="containsText" dxfId="1" priority="2" operator="containsText" text="Manager">
      <formula>NOT(ISERROR(SEARCH("Manager",D2)))</formula>
    </cfRule>
  </conditionalFormatting>
  <conditionalFormatting sqref="E2:E11">
    <cfRule type="cellIs" dxfId="0" priority="1" operator="greaterThan">
      <formula>20000</formula>
    </cfRule>
  </conditionalFormatting>
  <dataValidations count="1">
    <dataValidation type="list" allowBlank="1" showInputMessage="1" showErrorMessage="1" sqref="D2:D4">
      <formula1>"MANAGER, CONSULTANT, MIS EXECUTIVE"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6"/>
  <sheetViews>
    <sheetView zoomScale="190" zoomScaleNormal="190" workbookViewId="0">
      <selection activeCell="F10" sqref="F10"/>
    </sheetView>
  </sheetViews>
  <sheetFormatPr defaultRowHeight="14.4" x14ac:dyDescent="0.3"/>
  <sheetData>
    <row r="4" spans="1:6" x14ac:dyDescent="0.3">
      <c r="C4">
        <f>A5+B5</f>
        <v>35</v>
      </c>
      <c r="D4">
        <v>65</v>
      </c>
      <c r="F4">
        <f>C4+C6+D4</f>
        <v>112</v>
      </c>
    </row>
    <row r="5" spans="1:6" x14ac:dyDescent="0.3">
      <c r="A5">
        <v>25</v>
      </c>
      <c r="B5">
        <v>10</v>
      </c>
      <c r="C5">
        <v>35</v>
      </c>
      <c r="D5">
        <v>45</v>
      </c>
    </row>
    <row r="6" spans="1:6" x14ac:dyDescent="0.3">
      <c r="C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SHEET</vt:lpstr>
      <vt:lpstr>BLANKS</vt:lpstr>
      <vt:lpstr>ARRAY</vt:lpstr>
      <vt:lpstr>OBJECT</vt:lpstr>
      <vt:lpstr>ROW DIFFERENCE</vt:lpstr>
      <vt:lpstr>COLUMN DIFFERENCE</vt:lpstr>
      <vt:lpstr>VISIBLE CELLS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</dc:creator>
  <cp:lastModifiedBy>rojan poudel</cp:lastModifiedBy>
  <dcterms:created xsi:type="dcterms:W3CDTF">2019-01-15T20:16:54Z</dcterms:created>
  <dcterms:modified xsi:type="dcterms:W3CDTF">2026-09-12T10:46:23Z</dcterms:modified>
</cp:coreProperties>
</file>